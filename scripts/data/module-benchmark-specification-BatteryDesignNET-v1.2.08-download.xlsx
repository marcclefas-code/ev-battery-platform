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3a1dae2a7d213139/Documents/batterydesignnet/benchmarking/"/>
    </mc:Choice>
  </mc:AlternateContent>
  <xr:revisionPtr revIDLastSave="3" documentId="8_{B286B9BF-DB18-445D-8A56-4782449E493C}" xr6:coauthVersionLast="47" xr6:coauthVersionMax="47" xr10:uidLastSave="{57B0485A-AA8C-4B4A-87A1-359842323253}"/>
  <bookViews>
    <workbookView xWindow="20" yWindow="330" windowWidth="24860" windowHeight="20000" tabRatio="841" activeTab="1" xr2:uid="{00000000-000D-0000-FFFF-FFFF00000000}"/>
  </bookViews>
  <sheets>
    <sheet name="About" sheetId="39" r:id="rId1"/>
    <sheet name="Modules" sheetId="42" r:id="rId2"/>
  </sheets>
  <definedNames>
    <definedName name="_xlnm._FilterDatabase" localSheetId="1" hidden="1">Modules!$A$3:$CS$3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tc={0AB74DE5-E6CE-4A55-819A-47B9716438B5}</author>
  </authors>
  <commentList>
    <comment ref="BN3" authorId="0" shapeId="0" xr:uid="{0AB74DE5-E6CE-4A55-819A-47B9716438B5}">
      <text>
        <t>[Threaded comment]
Your version of Excel allows you to read this threaded comment; however, any edits to it will get removed if the file is opened in a newer version of Excel. Learn more: https://go.microsoft.com/fwlink/?linkid=870924
Comment:
    This is the reference number of the cell in the BatteryDesign.net cell database</t>
      </text>
    </comment>
  </commentList>
</comments>
</file>

<file path=xl/sharedStrings.xml><?xml version="1.0" encoding="utf-8"?>
<sst xmlns="http://schemas.openxmlformats.org/spreadsheetml/2006/main" count="984" uniqueCount="462">
  <si>
    <t>Manufacturer</t>
  </si>
  <si>
    <t>Energy</t>
  </si>
  <si>
    <t>Power</t>
  </si>
  <si>
    <t>Cell Mass</t>
  </si>
  <si>
    <t>Cooling</t>
  </si>
  <si>
    <t>Gravimetric Energy Density</t>
  </si>
  <si>
    <t>Volumetric Energy Density</t>
  </si>
  <si>
    <t>Gravimetric Power Density</t>
  </si>
  <si>
    <t>Volumetric Power Density</t>
  </si>
  <si>
    <t>kW10s</t>
  </si>
  <si>
    <t>A10s</t>
  </si>
  <si>
    <t>kWcont</t>
  </si>
  <si>
    <t>Acont</t>
  </si>
  <si>
    <t>kg</t>
  </si>
  <si>
    <t>%</t>
  </si>
  <si>
    <t>mm (x)</t>
  </si>
  <si>
    <t>mm (y)</t>
  </si>
  <si>
    <t>mm (z)</t>
  </si>
  <si>
    <t>litres</t>
  </si>
  <si>
    <t>Wh/kg</t>
  </si>
  <si>
    <t>Wh/litre</t>
  </si>
  <si>
    <t>W10s/kg</t>
  </si>
  <si>
    <t>W10s/litre</t>
  </si>
  <si>
    <t>Wcont/litre</t>
  </si>
  <si>
    <t>Capacity</t>
  </si>
  <si>
    <t>Voltage</t>
  </si>
  <si>
    <t>Format</t>
  </si>
  <si>
    <t>Chemistry</t>
  </si>
  <si>
    <t>Max</t>
  </si>
  <si>
    <t>Nom</t>
  </si>
  <si>
    <t>Min</t>
  </si>
  <si>
    <t>Wh</t>
  </si>
  <si>
    <t>Max °C</t>
  </si>
  <si>
    <t>Min °C</t>
  </si>
  <si>
    <t>Samsung</t>
  </si>
  <si>
    <t>Prismatic</t>
  </si>
  <si>
    <t>s</t>
  </si>
  <si>
    <t>p</t>
  </si>
  <si>
    <t>Cell</t>
  </si>
  <si>
    <t>AESC</t>
  </si>
  <si>
    <t>NMC712</t>
  </si>
  <si>
    <t>Pouch</t>
  </si>
  <si>
    <t>Nom V</t>
  </si>
  <si>
    <t>Charging</t>
  </si>
  <si>
    <t>E66a</t>
  </si>
  <si>
    <t>Type</t>
  </si>
  <si>
    <t>Make</t>
  </si>
  <si>
    <t>Model</t>
  </si>
  <si>
    <t>Capacity Ah</t>
  </si>
  <si>
    <t>NMC622</t>
  </si>
  <si>
    <t>liquid</t>
  </si>
  <si>
    <t>CATL</t>
  </si>
  <si>
    <t>NMC</t>
  </si>
  <si>
    <t>LFP</t>
  </si>
  <si>
    <t>NCA</t>
  </si>
  <si>
    <t>A123</t>
  </si>
  <si>
    <t>BEV Commercial Vehicle</t>
  </si>
  <si>
    <t>LF150</t>
  </si>
  <si>
    <t>LF173</t>
  </si>
  <si>
    <t>EVE</t>
  </si>
  <si>
    <t>LF230</t>
  </si>
  <si>
    <t>LF304</t>
  </si>
  <si>
    <t>REPT</t>
  </si>
  <si>
    <t>CALB</t>
  </si>
  <si>
    <t>LF100LA</t>
  </si>
  <si>
    <t>Energy Wh</t>
  </si>
  <si>
    <t>mass kg</t>
  </si>
  <si>
    <t>NMC 811</t>
  </si>
  <si>
    <t>LF90K</t>
  </si>
  <si>
    <t>Microvast</t>
  </si>
  <si>
    <t>NCMA</t>
  </si>
  <si>
    <t>Size</t>
  </si>
  <si>
    <t>Wcont/kg
discharge</t>
  </si>
  <si>
    <t>Wcont/kg
charge</t>
  </si>
  <si>
    <t>IP Rating</t>
  </si>
  <si>
    <t>IP65</t>
  </si>
  <si>
    <t>IP67</t>
  </si>
  <si>
    <t>IP68</t>
  </si>
  <si>
    <t>This database might always be a work in progress as more details around battery packs are added.</t>
  </si>
  <si>
    <t>Find the latest version at:</t>
  </si>
  <si>
    <t>https://www.batterydesign.net/downloads/</t>
  </si>
  <si>
    <t xml:space="preserve">Any issues or problems then contact us at nigel@batterydesign.net </t>
  </si>
  <si>
    <t>Ah (nom)</t>
  </si>
  <si>
    <t>Aluminium</t>
  </si>
  <si>
    <t>Total Cells</t>
  </si>
  <si>
    <t>NMC523</t>
  </si>
  <si>
    <t>Aluminium [kg]</t>
  </si>
  <si>
    <t>Cobalt [kg]</t>
  </si>
  <si>
    <t>Copper [kg]</t>
  </si>
  <si>
    <t>Graphite [kg]</t>
  </si>
  <si>
    <t>Iron [kg]</t>
  </si>
  <si>
    <t>Lithium [kg]</t>
  </si>
  <si>
    <t>Manganese [kg]</t>
  </si>
  <si>
    <t>Nickel [kg]</t>
  </si>
  <si>
    <t>Steel [kg]</t>
  </si>
  <si>
    <t>Version</t>
  </si>
  <si>
    <t>Notes</t>
  </si>
  <si>
    <t>Top down materials estimated based on chemistry and pack total kWh</t>
  </si>
  <si>
    <t>Xiaomi SU7 added, Zeekr 007 LFP Golden Pack, Tesla Model 3 LFP</t>
  </si>
  <si>
    <t>Updates to the VW ID battery packs</t>
  </si>
  <si>
    <t>Validation of cell chemistry , EEMB cylindrical LFP added</t>
  </si>
  <si>
    <t>Volume data and cross-checks made versus EPA application data for Rivia, Kia, BMW, Polestar and Volvo</t>
  </si>
  <si>
    <t>LGES</t>
  </si>
  <si>
    <t>LG ES battery cell data with DCIR and continuous power.</t>
  </si>
  <si>
    <t>L173F230B</t>
  </si>
  <si>
    <t>Added blade to cell format</t>
  </si>
  <si>
    <t>added in column for number of packs so that split packs are more understandable</t>
  </si>
  <si>
    <r>
      <rPr>
        <sz val="9"/>
        <color theme="0"/>
        <rFont val="Calibri"/>
        <family val="2"/>
      </rPr>
      <t>Ω</t>
    </r>
    <r>
      <rPr>
        <vertAlign val="subscript"/>
        <sz val="9"/>
        <color theme="0"/>
        <rFont val="Calibri"/>
        <family val="2"/>
      </rPr>
      <t>10s</t>
    </r>
  </si>
  <si>
    <r>
      <rPr>
        <sz val="9"/>
        <color theme="0"/>
        <rFont val="Calibri"/>
        <family val="2"/>
      </rPr>
      <t>Ω</t>
    </r>
    <r>
      <rPr>
        <vertAlign val="subscript"/>
        <sz val="9"/>
        <color theme="0"/>
        <rFont val="Calibri"/>
        <family val="2"/>
      </rPr>
      <t>30s</t>
    </r>
  </si>
  <si>
    <t>DCIR [10s 50% 25°C) Ω</t>
  </si>
  <si>
    <t>DCIR [30s 50% 25°C) Ω</t>
  </si>
  <si>
    <t xml:space="preserve"> symbol for Ohms was displaying as W for some people, now corrected to Arial character map</t>
  </si>
  <si>
    <t>updates to BYD Seal and Seal U</t>
  </si>
  <si>
    <t>Air</t>
  </si>
  <si>
    <t>large cell update, added and datasheets found</t>
  </si>
  <si>
    <t>added in Audi etron RS performance, Widetemp battery cells and DCIR</t>
  </si>
  <si>
    <t>lots of pack data added from EPA files, including Audi Q6</t>
  </si>
  <si>
    <t>Recommended SoC Range</t>
  </si>
  <si>
    <t>Rivian Gen 2 and LFP, ElevenEs Blade LFP, BYD Blade, Recommended SoC range added</t>
  </si>
  <si>
    <t>kW30s</t>
  </si>
  <si>
    <t>A30s</t>
  </si>
  <si>
    <t>IP54</t>
  </si>
  <si>
    <t>Updates to Lucid Air with latest data releases</t>
  </si>
  <si>
    <t>Adding BESS from AEG, Power-X</t>
  </si>
  <si>
    <t>Adding cells from EVE</t>
  </si>
  <si>
    <t>more than 1000 cells in database</t>
  </si>
  <si>
    <t>added in more 46xx, 2170 and 18650 cells</t>
  </si>
  <si>
    <t>cell formats aligned in Benchmarks</t>
  </si>
  <si>
    <t>Cell Wh/litre value added to pack benchmarks</t>
  </si>
  <si>
    <t>Cell Total Volume</t>
  </si>
  <si>
    <t>#</t>
  </si>
  <si>
    <t>Pack database increased to 1003</t>
  </si>
  <si>
    <t>M4863P3S</t>
  </si>
  <si>
    <t>M48126P3S</t>
  </si>
  <si>
    <t>Added Xiaomi SU7 Unltra and a number of LG Chem BESS packs</t>
  </si>
  <si>
    <t>Anode and Cathode thickness added, Calendar ageing added</t>
  </si>
  <si>
    <t>database ref</t>
  </si>
  <si>
    <t>BD0021</t>
  </si>
  <si>
    <t>BD0168</t>
  </si>
  <si>
    <t>BD0169</t>
  </si>
  <si>
    <t>BD0195</t>
  </si>
  <si>
    <t>BD0437</t>
  </si>
  <si>
    <t>BD0441</t>
  </si>
  <si>
    <t>BD0446</t>
  </si>
  <si>
    <t>BD0448</t>
  </si>
  <si>
    <t>BD0452</t>
  </si>
  <si>
    <t>BD0675</t>
  </si>
  <si>
    <t>BD0679</t>
  </si>
  <si>
    <t>BD0729</t>
  </si>
  <si>
    <t>BD0821</t>
  </si>
  <si>
    <t>BD0897</t>
  </si>
  <si>
    <t>Index number added to cells sheet and data sort filters added</t>
  </si>
  <si>
    <t>DB Ref</t>
  </si>
  <si>
    <t>LF280K</t>
  </si>
  <si>
    <t>Marine</t>
  </si>
  <si>
    <t>BMS</t>
  </si>
  <si>
    <t>Added in BMS manufacturer</t>
  </si>
  <si>
    <t>BD1114</t>
  </si>
  <si>
    <t>Lishen 46xx cells added</t>
  </si>
  <si>
    <t>Copyright Disclaimer:
This compiled database, including its structure, organization, and contents, is the property of Brookvale Solutions Ltd [Company No: 13769247] and is protected under copyright law, database rights, and Directive 96/9/EC on the legal protection of databases. Unauthorized extraction and re-utilisation of the whole or a substantial part of the contents, including but not limited to reproduction, distribution, or incorporation into collective or derivative databases, is strictly prohibited without explicit permission from the copyright holder. Accessing or utilizing this database implies acceptance of these terms.</t>
  </si>
  <si>
    <t>Cell to packs picked out, added 2025 Evs, added general packs</t>
  </si>
  <si>
    <t>correction to Porsche 911 T-hybrid power delivery, BYD fast charger BESS pack and cell</t>
  </si>
  <si>
    <t>cell power estimations added where data inputs available and marked white on red</t>
  </si>
  <si>
    <t>Updates to cell wall thicknesses</t>
  </si>
  <si>
    <t>2025 Kia and Hyundai vehicles added</t>
  </si>
  <si>
    <t>BESS</t>
  </si>
  <si>
    <t>Aptera Solar, CornEx cells</t>
  </si>
  <si>
    <t>Swappable and standard added to pack benchmarks</t>
  </si>
  <si>
    <t>V2L and V2G flags on packs</t>
  </si>
  <si>
    <t>Cell storage temperature min/max added</t>
  </si>
  <si>
    <t>BDM0001</t>
  </si>
  <si>
    <t>Module Name</t>
  </si>
  <si>
    <t>Module Mass</t>
  </si>
  <si>
    <t>Module-Cells</t>
  </si>
  <si>
    <t>Module Dimensions</t>
  </si>
  <si>
    <t>Module Volume</t>
  </si>
  <si>
    <t>Cell to Module Ratio</t>
  </si>
  <si>
    <t>Module Case Materials</t>
  </si>
  <si>
    <t>Area m2</t>
  </si>
  <si>
    <t>CSC Included</t>
  </si>
  <si>
    <t>Number Temperature Sensors</t>
  </si>
  <si>
    <t>Number of Voltage Sense Points</t>
  </si>
  <si>
    <t>Connector Type</t>
  </si>
  <si>
    <t>Connection Pins</t>
  </si>
  <si>
    <t>Module Configuration</t>
  </si>
  <si>
    <t>VDA 390 2P6S</t>
  </si>
  <si>
    <t>kW 10s peak</t>
  </si>
  <si>
    <t>A 10s peak</t>
  </si>
  <si>
    <t>kW continuous</t>
  </si>
  <si>
    <t>A continuous</t>
  </si>
  <si>
    <t>Quick Charging</t>
  </si>
  <si>
    <t>minutes</t>
  </si>
  <si>
    <t>Lower SOC</t>
  </si>
  <si>
    <t>Upper SOC</t>
  </si>
  <si>
    <t>°C</t>
  </si>
  <si>
    <t>Min Wh</t>
  </si>
  <si>
    <t>BDM0002</t>
  </si>
  <si>
    <t>VDA 590 2P12S</t>
  </si>
  <si>
    <t>Lower Surface</t>
  </si>
  <si>
    <t>BDM0003</t>
  </si>
  <si>
    <t>BDM0004</t>
  </si>
  <si>
    <t>BDM0005</t>
  </si>
  <si>
    <t>VDA 590 3P8S</t>
  </si>
  <si>
    <t>CM10 14S40P</t>
  </si>
  <si>
    <t>CM10 28S20P</t>
  </si>
  <si>
    <t>Module DCIR</t>
  </si>
  <si>
    <t>Fuse</t>
  </si>
  <si>
    <t>Rating [A]</t>
  </si>
  <si>
    <t>Included</t>
  </si>
  <si>
    <t>Bolt Size</t>
  </si>
  <si>
    <t>Area</t>
  </si>
  <si>
    <t>Terminals</t>
  </si>
  <si>
    <t>Operating Temperature</t>
  </si>
  <si>
    <t>Storage Temperature</t>
  </si>
  <si>
    <t>Samsung Sdi</t>
  </si>
  <si>
    <t>BDM0006</t>
  </si>
  <si>
    <t>BDM0007</t>
  </si>
  <si>
    <t>BDM0008</t>
  </si>
  <si>
    <t>BDM0009</t>
  </si>
  <si>
    <t>BDM0010</t>
  </si>
  <si>
    <t>BDM0011</t>
  </si>
  <si>
    <t>M2994</t>
  </si>
  <si>
    <t>M2968</t>
  </si>
  <si>
    <t>M2967</t>
  </si>
  <si>
    <t>M8194 EZ</t>
  </si>
  <si>
    <t>M8194 MZ</t>
  </si>
  <si>
    <t>M8194 PZ</t>
  </si>
  <si>
    <t>E3-M088</t>
  </si>
  <si>
    <t>M3-M081</t>
  </si>
  <si>
    <t>P3-M063</t>
  </si>
  <si>
    <t>BDM0012</t>
  </si>
  <si>
    <t>BDM0013</t>
  </si>
  <si>
    <t>BDM0014</t>
  </si>
  <si>
    <t>Primary Application</t>
  </si>
  <si>
    <t>BESS, UPS</t>
  </si>
  <si>
    <t>BDM0015</t>
  </si>
  <si>
    <t>VDA Module</t>
  </si>
  <si>
    <t>BDM0016</t>
  </si>
  <si>
    <t>Generic Estimation of Materials in Module (top down based on kWh and chemistry)</t>
  </si>
  <si>
    <t>% of Total Module Mass</t>
  </si>
  <si>
    <t>BDM0017</t>
  </si>
  <si>
    <t>590 Module</t>
  </si>
  <si>
    <t>BM-8-12.8/180</t>
  </si>
  <si>
    <t>BM-1/8-25.6/100L</t>
  </si>
  <si>
    <t>BM-12-19.2/105</t>
  </si>
  <si>
    <t>BM-5-16/280</t>
  </si>
  <si>
    <t>BM-8-25.6/280</t>
  </si>
  <si>
    <t>BM-12-38.4/280</t>
  </si>
  <si>
    <t>BDM0018</t>
  </si>
  <si>
    <t>BDM0019</t>
  </si>
  <si>
    <t>BDM0020</t>
  </si>
  <si>
    <t>BDM0021</t>
  </si>
  <si>
    <t>BDM0022</t>
  </si>
  <si>
    <t>BDM0023</t>
  </si>
  <si>
    <t>LF105K</t>
  </si>
  <si>
    <t>Charging Temperature</t>
  </si>
  <si>
    <t>Discharging Temperature</t>
  </si>
  <si>
    <t>LGES Audi</t>
  </si>
  <si>
    <t>BDM0024</t>
  </si>
  <si>
    <t>4KE.915.591.J</t>
  </si>
  <si>
    <t>TE 2307090-2</t>
  </si>
  <si>
    <t>Module database added initially with 24 modules listed</t>
  </si>
  <si>
    <t>A123 packs added, LG LFP pouch cells added</t>
  </si>
  <si>
    <t>BDM0025</t>
  </si>
  <si>
    <t>BDM0026</t>
  </si>
  <si>
    <t>BDM0027</t>
  </si>
  <si>
    <t>BDM0028</t>
  </si>
  <si>
    <t>BDM0029</t>
  </si>
  <si>
    <t>D148N58E-3P4S</t>
  </si>
  <si>
    <t>IRISO13065B-2-12A-TR</t>
  </si>
  <si>
    <t>BD1271</t>
  </si>
  <si>
    <t>BD1272</t>
  </si>
  <si>
    <t>BD1273</t>
  </si>
  <si>
    <t>BD1275</t>
  </si>
  <si>
    <t>BD1277</t>
  </si>
  <si>
    <t>BD1279</t>
  </si>
  <si>
    <t>Lithium Storage Ltd</t>
  </si>
  <si>
    <t>BD1282</t>
  </si>
  <si>
    <t>NCM 114AH1P6S</t>
  </si>
  <si>
    <t>NCM113Ah 2P8S</t>
  </si>
  <si>
    <t>NCM 58Ah2P7S</t>
  </si>
  <si>
    <t>NCM51AH1P12S</t>
  </si>
  <si>
    <t>BDM0030</t>
  </si>
  <si>
    <t>Electric Vehicle</t>
  </si>
  <si>
    <t>MSXX3-22.2V102Ah1P6S</t>
  </si>
  <si>
    <t>LFP135Ah 1P4S-12.8V135Ah</t>
  </si>
  <si>
    <t>BDM0031</t>
  </si>
  <si>
    <t>General</t>
  </si>
  <si>
    <t>NCM177Ah 1P4S-12.8V177Ah</t>
  </si>
  <si>
    <t>BDM0032</t>
  </si>
  <si>
    <t>BDM0033</t>
  </si>
  <si>
    <t>LFP302Ah 1P8S-25.6V302Ah</t>
  </si>
  <si>
    <t>BDM0034</t>
  </si>
  <si>
    <t>BDM0035</t>
  </si>
  <si>
    <t>BDM0036</t>
  </si>
  <si>
    <t>BDM0037</t>
  </si>
  <si>
    <t>LFP280Ah 1P8S-25.6V280Ah</t>
  </si>
  <si>
    <t>LFP100Ah 1P8S-25.6V100Ah</t>
  </si>
  <si>
    <t>LFP50Ah 1P8S-25.6V50Ah</t>
  </si>
  <si>
    <t>LFP230Ah 1P8S-25.6V230Ah</t>
  </si>
  <si>
    <t>Lithium Storage Ltd cells, modules and packs added</t>
  </si>
  <si>
    <t>P28.5 1P12S</t>
  </si>
  <si>
    <t>E66C 3P4S</t>
  </si>
  <si>
    <t>E60 2P12S</t>
  </si>
  <si>
    <t>E60 3P8S</t>
  </si>
  <si>
    <t>BDM0038</t>
  </si>
  <si>
    <t>BDM0039</t>
  </si>
  <si>
    <t>BDM0040</t>
  </si>
  <si>
    <t>BDM0041</t>
  </si>
  <si>
    <t>addition of 26MY vehicles</t>
  </si>
  <si>
    <t>BMW i3 120Ah</t>
  </si>
  <si>
    <t>BDM0042</t>
  </si>
  <si>
    <t>BDM0043</t>
  </si>
  <si>
    <t xml:space="preserve">Jaguar I-Pace </t>
  </si>
  <si>
    <t>VW MEB Module 8S</t>
  </si>
  <si>
    <t>BDM0044</t>
  </si>
  <si>
    <t>BDM0045</t>
  </si>
  <si>
    <t>VW MEB Module 12S</t>
  </si>
  <si>
    <t>BDM0046</t>
  </si>
  <si>
    <t xml:space="preserve">Nissan Leaf Gen 2 </t>
  </si>
  <si>
    <t>BDM0047</t>
  </si>
  <si>
    <t>16s 11kWh</t>
  </si>
  <si>
    <t>BDM0048</t>
  </si>
  <si>
    <t>BMW i3 94Ah</t>
  </si>
  <si>
    <t>Octillion</t>
  </si>
  <si>
    <t>kW5s</t>
  </si>
  <si>
    <t>A5s</t>
  </si>
  <si>
    <t>BDM0049</t>
  </si>
  <si>
    <t>Muriel</t>
  </si>
  <si>
    <t>Cylidrical</t>
  </si>
  <si>
    <t>5s discharge power and current added for modules and packs</t>
  </si>
  <si>
    <t>SSB cells from Nuvvon added to cell database</t>
  </si>
  <si>
    <t>E60</t>
  </si>
  <si>
    <t>H173F230A-1P6S</t>
  </si>
  <si>
    <t>H173F230A-1P8S</t>
  </si>
  <si>
    <t>H173F230A-4P1S</t>
  </si>
  <si>
    <t>H173F280A-1P9S</t>
  </si>
  <si>
    <t>H173F220A-1P39S</t>
  </si>
  <si>
    <t>H173F220A-1P273S</t>
  </si>
  <si>
    <t>BDM0050</t>
  </si>
  <si>
    <t>BDM0051</t>
  </si>
  <si>
    <t>BDM0052</t>
  </si>
  <si>
    <t>BDM0053</t>
  </si>
  <si>
    <t>BDM0054</t>
  </si>
  <si>
    <t>BDM0055</t>
  </si>
  <si>
    <t>BDM0056</t>
  </si>
  <si>
    <t>BDM0057</t>
  </si>
  <si>
    <t>12.88V202AH</t>
  </si>
  <si>
    <t>12.88V271AH</t>
  </si>
  <si>
    <t>CALB marine modules added, Nissan N7 pack data</t>
  </si>
  <si>
    <t>Update to Stellantis 75kWh pack data and addition of Ferrari Elettrica and SK On cell.</t>
  </si>
  <si>
    <t>Alexander Dennis Bus, Volvo EX90 26MY 800V</t>
  </si>
  <si>
    <t>LGNE</t>
  </si>
  <si>
    <t>BDM0058</t>
  </si>
  <si>
    <t>BDM0059</t>
  </si>
  <si>
    <t>BDM0060</t>
  </si>
  <si>
    <t>BDM0061</t>
  </si>
  <si>
    <t>BDM0062</t>
  </si>
  <si>
    <t>BDM0063</t>
  </si>
  <si>
    <t>BDM0064</t>
  </si>
  <si>
    <t>BDM0065</t>
  </si>
  <si>
    <t>BDM0066</t>
  </si>
  <si>
    <t>BDM0067</t>
  </si>
  <si>
    <t>BDM0068</t>
  </si>
  <si>
    <t>BDM0069</t>
  </si>
  <si>
    <t>BDM0070</t>
  </si>
  <si>
    <t>BDM0071</t>
  </si>
  <si>
    <t>BDM0072</t>
  </si>
  <si>
    <t>BDM0073</t>
  </si>
  <si>
    <t>BDM0074</t>
  </si>
  <si>
    <t>BDM0075</t>
  </si>
  <si>
    <t>BDM0076</t>
  </si>
  <si>
    <t>BDM0077</t>
  </si>
  <si>
    <t>LV Platform Module</t>
  </si>
  <si>
    <t>Module to Vehicle (MTV)</t>
  </si>
  <si>
    <t>Renault Trafic 2026 added, Gotion cell for VW Unified added, Yesper 12/24V</t>
  </si>
  <si>
    <t>M48145P5B (2P)</t>
  </si>
  <si>
    <t>M48218P5B (3P)</t>
  </si>
  <si>
    <t>M48290P5B (4P)</t>
  </si>
  <si>
    <t>BDM0078</t>
  </si>
  <si>
    <t>BDM0079</t>
  </si>
  <si>
    <t>BDM0080</t>
  </si>
  <si>
    <t>BDM0081</t>
  </si>
  <si>
    <t>BDM0082</t>
  </si>
  <si>
    <t>BDM0083</t>
  </si>
  <si>
    <t>M48126P3B (2P)</t>
  </si>
  <si>
    <t>M48189P3B (3P)</t>
  </si>
  <si>
    <t>M48252P3B (4P)</t>
  </si>
  <si>
    <t>BDM0084</t>
  </si>
  <si>
    <t>BDM0085</t>
  </si>
  <si>
    <t>BDM0086</t>
  </si>
  <si>
    <t>M4864P6B (1P)</t>
  </si>
  <si>
    <t>M48128P6B (2P)</t>
  </si>
  <si>
    <t>M4860P7B (2P)</t>
  </si>
  <si>
    <t>BDM0087</t>
  </si>
  <si>
    <t>BDM0088</t>
  </si>
  <si>
    <t>Added in AmpHERR, NiFe cells</t>
  </si>
  <si>
    <t>Brogen</t>
  </si>
  <si>
    <t>BDM0089</t>
  </si>
  <si>
    <t>BDM0090</t>
  </si>
  <si>
    <t>OE-B4-1P48S-11</t>
  </si>
  <si>
    <t>OE-B4-2P24S-11</t>
  </si>
  <si>
    <t>LF125P</t>
  </si>
  <si>
    <t>C</t>
  </si>
  <si>
    <t>BDM0091</t>
  </si>
  <si>
    <t>BDM0092</t>
  </si>
  <si>
    <t>BDM0093</t>
  </si>
  <si>
    <t>G</t>
  </si>
  <si>
    <t>BDM0094</t>
  </si>
  <si>
    <t>BDM0095</t>
  </si>
  <si>
    <t>BDM0096</t>
  </si>
  <si>
    <t>BDM0097</t>
  </si>
  <si>
    <t>K01</t>
  </si>
  <si>
    <t>liquid / PTC</t>
  </si>
  <si>
    <t>H01</t>
  </si>
  <si>
    <t>BDM0098</t>
  </si>
  <si>
    <t>BDM0099</t>
  </si>
  <si>
    <t>H02</t>
  </si>
  <si>
    <t>BDM0100</t>
  </si>
  <si>
    <t>BDM0101</t>
  </si>
  <si>
    <t>TB1</t>
  </si>
  <si>
    <t>BDM0102</t>
  </si>
  <si>
    <t>BDM0103</t>
  </si>
  <si>
    <t>TX8</t>
  </si>
  <si>
    <t>BDM0104</t>
  </si>
  <si>
    <t>TB2</t>
  </si>
  <si>
    <t>Added in 270Ah HiNa cell that pushes Sodium Ion to 160Wh/kg, CATL 46950, CATL Shenxing. VRMET</t>
  </si>
  <si>
    <t>Added fields to capture battery product max/min environment temperature</t>
  </si>
  <si>
    <t>Added certification fields</t>
  </si>
  <si>
    <t>Audi updates and additions</t>
  </si>
  <si>
    <t>1.2.04</t>
  </si>
  <si>
    <t>1.2.01</t>
  </si>
  <si>
    <t>Mercedes additions based on UN38.3 list published by MB</t>
  </si>
  <si>
    <t>1.2.06</t>
  </si>
  <si>
    <t>VW Polo MEB+ LFP and NMC packs added</t>
  </si>
  <si>
    <t>1.2.07</t>
  </si>
  <si>
    <t>BYD U7 packs</t>
  </si>
  <si>
    <t>Farasis Energy</t>
  </si>
  <si>
    <t>Volta</t>
  </si>
  <si>
    <t>Short Brick</t>
  </si>
  <si>
    <t>Long Brick</t>
  </si>
  <si>
    <t>Atlas</t>
  </si>
  <si>
    <t>BCB</t>
  </si>
  <si>
    <t>VDA 355</t>
  </si>
  <si>
    <t>Module 9s3p</t>
  </si>
  <si>
    <t>Module 14s3p</t>
  </si>
  <si>
    <t>Module 6s3p</t>
  </si>
  <si>
    <t>Module 12s2p</t>
  </si>
  <si>
    <t>Module 12s3p</t>
  </si>
  <si>
    <t>BDM0105</t>
  </si>
  <si>
    <t>BDM0106</t>
  </si>
  <si>
    <t>BDM0107</t>
  </si>
  <si>
    <t>BDM0108</t>
  </si>
  <si>
    <t>BDM0109</t>
  </si>
  <si>
    <t>BDM0110</t>
  </si>
  <si>
    <t>BDM0111</t>
  </si>
  <si>
    <t>BDM0112</t>
  </si>
  <si>
    <t>BDM0113</t>
  </si>
  <si>
    <t>BDM0114</t>
  </si>
  <si>
    <t>BDM0115</t>
  </si>
  <si>
    <t>NMC 622</t>
  </si>
  <si>
    <t>#modules = 115 #vals = 3979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</si>
</sst>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0.0"/>
    <numFmt numFmtId="166" formatCode="0.000"/>
    <numFmt numFmtId="167" formatCode="0.0%"/>
    <numFmt numFmtId="168" formatCode="0.0000"/>
  </numFmts>
  <fonts count="8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font>
    <font>
      <sz val="11"/>
      <name val="Calibri"/>
      <family val="2"/>
    </font>
    <font>
      <b/>
      <sz val="11"/>
      <color theme="1"/>
      <name val="Calibri"/>
      <family val="2"/>
    </font>
    <font>
      <sz val="11"/>
      <color theme="1"/>
      <name val="Calibri"/>
      <family val="2"/>
    </font>
    <font>
      <sz val="9"/>
      <color theme="0"/>
      <name val="Calibri"/>
      <family val="2"/>
    </font>
    <font>
      <b/>
      <sz val="12"/>
      <color theme="0"/>
      <name val="Calibri"/>
      <family val="2"/>
    </font>
    <font>
      <sz val="11"/>
      <color theme="0"/>
      <name val="Calibri"/>
      <family val="2"/>
    </font>
    <font>
      <sz val="11"/>
      <color theme="1"/>
      <name val="Calibri"/>
      <family val="2"/>
      <scheme val="minor"/>
    </font>
    <font>
      <b/>
      <sz val="11"/>
      <color theme="1"/>
      <name val="Calibri"/>
      <family val="2"/>
      <scheme val="minor"/>
    </font>
    <font>
      <u/>
      <sz val="11"/>
      <color theme="10"/>
      <name val="Calibri"/>
      <family val="2"/>
      <scheme val="minor"/>
    </font>
    <font>
      <sz val="11"/>
      <color theme="0"/>
      <name val="Calibri"/>
      <family val="2"/>
      <scheme val="minor"/>
    </font>
    <font>
      <sz val="11"/>
      <color rgb="FFFF0000"/>
      <name val="Calibri"/>
      <family val="2"/>
      <scheme val="minor"/>
    </font>
    <font>
      <sz val="9"/>
      <color theme="0"/>
      <name val="Calibri"/>
      <family val="1"/>
      <charset val="2"/>
    </font>
    <font>
      <vertAlign val="subscript"/>
      <sz val="9"/>
      <color theme="0"/>
      <name val="Calibri"/>
      <family val="2"/>
    </font>
    <font>
      <u/>
      <sz val="18"/>
      <color theme="10"/>
      <name val="Calibri"/>
      <family val="2"/>
      <scheme val="minor"/>
    </font>
    <font>
      <sz val="8"/>
      <name val="Calibri"/>
      <family val="2"/>
      <scheme val="minor"/>
    </font>
  </fonts>
  <fills count="30">
    <fill>
      <patternFill patternType="none"/>
    </fill>
    <fill>
      <patternFill patternType="gray125"/>
    </fill>
    <fill>
      <patternFill patternType="solid">
        <fgColor rgb="FF1E4E79"/>
        <bgColor rgb="FF1E4E79"/>
      </patternFill>
    </fill>
    <fill>
      <patternFill patternType="solid">
        <fgColor rgb="FF385623"/>
        <bgColor rgb="FF385623"/>
      </patternFill>
    </fill>
    <fill>
      <patternFill patternType="solid">
        <fgColor rgb="FF548135"/>
        <bgColor rgb="FF548135"/>
      </patternFill>
    </fill>
    <fill>
      <patternFill patternType="solid">
        <fgColor rgb="FF2E75B5"/>
        <bgColor rgb="FF2E75B5"/>
      </patternFill>
    </fill>
    <fill>
      <patternFill patternType="solid">
        <fgColor rgb="FFE2EFD9"/>
        <bgColor rgb="FFE2EFD9"/>
      </patternFill>
    </fill>
    <fill>
      <patternFill patternType="solid">
        <fgColor rgb="FF1F3864"/>
        <bgColor rgb="FF1F3864"/>
      </patternFill>
    </fill>
    <fill>
      <patternFill patternType="solid">
        <fgColor theme="8" tint="0.79998168889431442"/>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4" tint="-0.499984740745262"/>
        <bgColor indexed="64"/>
      </patternFill>
    </fill>
    <fill>
      <patternFill patternType="solid">
        <fgColor theme="4"/>
        <bgColor indexed="64"/>
      </patternFill>
    </fill>
    <fill>
      <patternFill patternType="solid">
        <fgColor theme="9" tint="0.59999389629810485"/>
        <bgColor rgb="FFE2EFD9"/>
      </patternFill>
    </fill>
    <fill>
      <patternFill patternType="solid">
        <fgColor theme="9" tint="0.59999389629810485"/>
        <bgColor indexed="64"/>
      </patternFill>
    </fill>
    <fill>
      <patternFill patternType="solid">
        <fgColor theme="9" tint="-0.499984740745262"/>
        <bgColor rgb="FF1E4E79"/>
      </patternFill>
    </fill>
    <fill>
      <patternFill patternType="solid">
        <fgColor theme="9" tint="-0.249977111117893"/>
        <bgColor rgb="FF2E75B5"/>
      </patternFill>
    </fill>
    <fill>
      <patternFill patternType="solid">
        <fgColor theme="8" tint="-0.499984740745262"/>
        <bgColor rgb="FF385623"/>
      </patternFill>
    </fill>
    <fill>
      <patternFill patternType="solid">
        <fgColor theme="8" tint="-0.249977111117893"/>
        <bgColor rgb="FF548135"/>
      </patternFill>
    </fill>
    <fill>
      <patternFill patternType="solid">
        <fgColor theme="9" tint="0.39997558519241921"/>
        <bgColor indexed="64"/>
      </patternFill>
    </fill>
    <fill>
      <patternFill patternType="solid">
        <fgColor theme="7" tint="-0.499984740745262"/>
        <bgColor rgb="FF385623"/>
      </patternFill>
    </fill>
    <fill>
      <patternFill patternType="solid">
        <fgColor theme="7" tint="-0.249977111117893"/>
        <bgColor rgb="FF548135"/>
      </patternFill>
    </fill>
    <fill>
      <patternFill patternType="solid">
        <fgColor theme="4" tint="-0.499984740745262"/>
        <bgColor rgb="FF385623"/>
      </patternFill>
    </fill>
    <fill>
      <patternFill patternType="solid">
        <fgColor theme="4" tint="-0.249977111117893"/>
        <bgColor rgb="FF548135"/>
      </patternFill>
    </fill>
    <fill>
      <patternFill patternType="solid">
        <fgColor theme="5" tint="-0.499984740745262"/>
        <bgColor rgb="FF385623"/>
      </patternFill>
    </fill>
    <fill>
      <patternFill patternType="solid">
        <fgColor theme="5" tint="-0.249977111117893"/>
        <bgColor rgb="FF548135"/>
      </patternFill>
    </fill>
    <fill>
      <patternFill patternType="solid">
        <fgColor theme="2" tint="-0.499984740745262"/>
        <bgColor rgb="FF1E4E79"/>
      </patternFill>
    </fill>
    <fill>
      <patternFill patternType="solid">
        <fgColor theme="0" tint="-0.34998626667073579"/>
        <bgColor rgb="FF2E75B5"/>
      </patternFill>
    </fill>
    <fill>
      <patternFill patternType="solid">
        <fgColor rgb="FFEE0000"/>
        <bgColor indexed="64"/>
      </patternFill>
    </fill>
  </fills>
  <borders count="1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top/>
      <bottom/>
      <diagonal/>
    </border>
    <border>
      <left/>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rgb="FF000000"/>
      </bottom>
      <diagonal/>
    </border>
  </borders>
  <cellStyleXfs count="3">
    <xf numFmtId="0" fontId="0" fillId="0" borderId="0"/>
    <xf numFmtId="9" fontId="77" fillId="0" borderId="0" applyFont="0" applyFill="0" applyBorder="0" applyAlignment="0" applyProtection="0"/>
    <xf numFmtId="0" fontId="79" fillId="0" borderId="0" applyNumberFormat="0" applyFill="0" applyBorder="0" applyAlignment="0" applyProtection="0"/>
  </cellStyleXfs>
  <cellXfs count="187">
    <xf numFmtId="0" fontId="0" fillId="0" borderId="0" xfId="0"/>
    <xf numFmtId="0" fontId="70" fillId="2" borderId="4" xfId="0" applyFont="1" applyFill="1" applyBorder="1" applyAlignment="1">
      <alignment horizontal="center" vertical="center" wrapText="1"/>
    </xf>
    <xf numFmtId="0" fontId="70" fillId="3" borderId="4" xfId="0" applyFont="1" applyFill="1" applyBorder="1" applyAlignment="1">
      <alignment horizontal="center" vertical="center" wrapText="1"/>
    </xf>
    <xf numFmtId="0" fontId="0" fillId="0" borderId="0" xfId="0" applyAlignment="1">
      <alignment horizontal="center"/>
    </xf>
    <xf numFmtId="167" fontId="0" fillId="0" borderId="0" xfId="1" applyNumberFormat="1" applyFont="1" applyAlignment="1">
      <alignment horizontal="center"/>
    </xf>
    <xf numFmtId="0" fontId="0" fillId="0" borderId="15" xfId="0" applyBorder="1" applyAlignment="1">
      <alignment horizontal="center"/>
    </xf>
    <xf numFmtId="0" fontId="73" fillId="0" borderId="8" xfId="0" applyFont="1" applyBorder="1" applyAlignment="1">
      <alignment horizontal="center" vertical="center"/>
    </xf>
    <xf numFmtId="0" fontId="0" fillId="0" borderId="8" xfId="0" applyBorder="1"/>
    <xf numFmtId="0" fontId="74" fillId="4" borderId="1" xfId="0" applyFont="1" applyFill="1" applyBorder="1" applyAlignment="1">
      <alignment horizontal="center" vertical="center" wrapText="1"/>
    </xf>
    <xf numFmtId="0" fontId="74" fillId="5" borderId="1" xfId="0" applyFont="1" applyFill="1" applyBorder="1" applyAlignment="1">
      <alignment horizontal="center" vertical="center" wrapText="1"/>
    </xf>
    <xf numFmtId="0" fontId="82" fillId="4" borderId="1" xfId="0" applyFont="1" applyFill="1" applyBorder="1" applyAlignment="1">
      <alignment horizontal="center" vertical="center" wrapText="1"/>
    </xf>
    <xf numFmtId="0" fontId="81" fillId="0" borderId="0" xfId="0" applyFont="1" applyAlignment="1">
      <alignment wrapText="1"/>
    </xf>
    <xf numFmtId="0" fontId="73" fillId="6" borderId="1" xfId="0" applyFont="1" applyFill="1" applyBorder="1" applyAlignment="1">
      <alignment horizontal="center" vertical="center"/>
    </xf>
    <xf numFmtId="0" fontId="76" fillId="13" borderId="8" xfId="0" applyFont="1" applyFill="1" applyBorder="1" applyAlignment="1">
      <alignment horizontal="center" vertical="center"/>
    </xf>
    <xf numFmtId="0" fontId="70" fillId="2" borderId="12" xfId="0" applyFont="1" applyFill="1" applyBorder="1" applyAlignment="1">
      <alignment horizontal="center" vertical="center" wrapText="1"/>
    </xf>
    <xf numFmtId="0" fontId="70" fillId="16" borderId="12" xfId="0" applyFont="1" applyFill="1" applyBorder="1" applyAlignment="1">
      <alignment horizontal="center" vertical="center" wrapText="1"/>
    </xf>
    <xf numFmtId="0" fontId="74" fillId="17" borderId="1" xfId="0" applyFont="1" applyFill="1" applyBorder="1" applyAlignment="1">
      <alignment horizontal="center" vertical="center" wrapText="1"/>
    </xf>
    <xf numFmtId="0" fontId="68" fillId="0" borderId="0" xfId="0" applyFont="1"/>
    <xf numFmtId="0" fontId="74" fillId="19" borderId="1" xfId="0" applyFont="1" applyFill="1" applyBorder="1" applyAlignment="1">
      <alignment horizontal="center" vertical="center" wrapText="1"/>
    </xf>
    <xf numFmtId="0" fontId="69" fillId="8" borderId="15" xfId="0" applyFont="1" applyFill="1" applyBorder="1" applyAlignment="1">
      <alignment horizontal="center"/>
    </xf>
    <xf numFmtId="166" fontId="0" fillId="0" borderId="0" xfId="0" applyNumberFormat="1" applyAlignment="1">
      <alignment horizontal="center"/>
    </xf>
    <xf numFmtId="0" fontId="74" fillId="19" borderId="9" xfId="0" applyFont="1" applyFill="1" applyBorder="1" applyAlignment="1">
      <alignment horizontal="center" vertical="center" wrapText="1"/>
    </xf>
    <xf numFmtId="0" fontId="78" fillId="20" borderId="0" xfId="0" applyFont="1" applyFill="1" applyAlignment="1">
      <alignment horizontal="center"/>
    </xf>
    <xf numFmtId="0" fontId="78" fillId="20" borderId="0" xfId="0" applyFont="1" applyFill="1"/>
    <xf numFmtId="0" fontId="67" fillId="0" borderId="0" xfId="0" applyFont="1" applyAlignment="1">
      <alignment vertical="center"/>
    </xf>
    <xf numFmtId="0" fontId="66" fillId="0" borderId="0" xfId="0" applyFont="1"/>
    <xf numFmtId="0" fontId="65" fillId="0" borderId="0" xfId="0" applyFont="1"/>
    <xf numFmtId="0" fontId="64" fillId="0" borderId="0" xfId="0" applyFont="1"/>
    <xf numFmtId="0" fontId="63" fillId="0" borderId="0" xfId="0" applyFont="1"/>
    <xf numFmtId="0" fontId="62" fillId="0" borderId="0" xfId="0" applyFont="1"/>
    <xf numFmtId="0" fontId="61" fillId="0" borderId="0" xfId="0" applyFont="1"/>
    <xf numFmtId="0" fontId="83" fillId="4" borderId="1" xfId="0" applyFont="1" applyFill="1" applyBorder="1" applyAlignment="1">
      <alignment horizontal="center" vertical="center" wrapText="1"/>
    </xf>
    <xf numFmtId="0" fontId="60" fillId="0" borderId="0" xfId="0" applyFont="1"/>
    <xf numFmtId="0" fontId="59" fillId="0" borderId="0" xfId="0" applyFont="1"/>
    <xf numFmtId="0" fontId="58" fillId="0" borderId="0" xfId="0" applyFont="1"/>
    <xf numFmtId="0" fontId="57" fillId="0" borderId="0" xfId="0" applyFont="1"/>
    <xf numFmtId="0" fontId="56" fillId="0" borderId="0" xfId="0" applyFont="1"/>
    <xf numFmtId="0" fontId="55" fillId="0" borderId="0" xfId="0" applyFont="1"/>
    <xf numFmtId="9" fontId="73" fillId="0" borderId="8" xfId="1" applyFont="1" applyFill="1" applyBorder="1" applyAlignment="1">
      <alignment horizontal="center" vertical="center"/>
    </xf>
    <xf numFmtId="0" fontId="54" fillId="0" borderId="0" xfId="0" applyFont="1"/>
    <xf numFmtId="0" fontId="53" fillId="0" borderId="0" xfId="0" applyFont="1"/>
    <xf numFmtId="0" fontId="52" fillId="0" borderId="0" xfId="0" applyFont="1"/>
    <xf numFmtId="0" fontId="51" fillId="0" borderId="0" xfId="0" applyFont="1"/>
    <xf numFmtId="0" fontId="50" fillId="0" borderId="0" xfId="0" applyFont="1"/>
    <xf numFmtId="0" fontId="49" fillId="0" borderId="0" xfId="0" applyFont="1"/>
    <xf numFmtId="0" fontId="48" fillId="0" borderId="0" xfId="0" applyFont="1"/>
    <xf numFmtId="0" fontId="47" fillId="0" borderId="0" xfId="0" applyFont="1"/>
    <xf numFmtId="0" fontId="46" fillId="0" borderId="0" xfId="0" applyFont="1"/>
    <xf numFmtId="9" fontId="0" fillId="0" borderId="0" xfId="1" applyFont="1" applyAlignment="1">
      <alignment horizontal="center"/>
    </xf>
    <xf numFmtId="0" fontId="45" fillId="0" borderId="0" xfId="0" applyFont="1"/>
    <xf numFmtId="0" fontId="75" fillId="7" borderId="6" xfId="0" applyFont="1" applyFill="1" applyBorder="1" applyAlignment="1">
      <alignment horizontal="center" vertical="center"/>
    </xf>
    <xf numFmtId="0" fontId="80" fillId="12" borderId="8" xfId="0" applyFont="1" applyFill="1" applyBorder="1" applyAlignment="1">
      <alignment horizontal="center" wrapText="1"/>
    </xf>
    <xf numFmtId="0" fontId="75" fillId="7" borderId="8" xfId="0" applyFont="1" applyFill="1" applyBorder="1" applyAlignment="1">
      <alignment vertical="center"/>
    </xf>
    <xf numFmtId="0" fontId="44" fillId="0" borderId="0" xfId="0" applyFont="1"/>
    <xf numFmtId="0" fontId="43" fillId="0" borderId="0" xfId="0" applyFont="1"/>
    <xf numFmtId="0" fontId="42" fillId="0" borderId="0" xfId="0" applyFont="1"/>
    <xf numFmtId="0" fontId="81" fillId="0" borderId="0" xfId="0" applyFont="1" applyAlignment="1">
      <alignment horizontal="center" wrapText="1"/>
    </xf>
    <xf numFmtId="0" fontId="84" fillId="0" borderId="0" xfId="2" applyFont="1" applyAlignment="1">
      <alignment horizontal="center"/>
    </xf>
    <xf numFmtId="0" fontId="41" fillId="0" borderId="0" xfId="0" applyFont="1"/>
    <xf numFmtId="0" fontId="40" fillId="0" borderId="0" xfId="0" applyFont="1"/>
    <xf numFmtId="0" fontId="39" fillId="0" borderId="0" xfId="0" applyFont="1"/>
    <xf numFmtId="0" fontId="38" fillId="0" borderId="0" xfId="0" applyFont="1"/>
    <xf numFmtId="0" fontId="37" fillId="0" borderId="0" xfId="0" applyFont="1"/>
    <xf numFmtId="0" fontId="36" fillId="0" borderId="0" xfId="0" applyFont="1"/>
    <xf numFmtId="0" fontId="35" fillId="0" borderId="0" xfId="0" applyFont="1"/>
    <xf numFmtId="0" fontId="34" fillId="0" borderId="0" xfId="0" applyFont="1"/>
    <xf numFmtId="0" fontId="33" fillId="0" borderId="0" xfId="0" applyFont="1"/>
    <xf numFmtId="0" fontId="0" fillId="11" borderId="0" xfId="0" applyFill="1" applyAlignment="1">
      <alignment horizontal="center"/>
    </xf>
    <xf numFmtId="0" fontId="0" fillId="11" borderId="0" xfId="0" applyFill="1"/>
    <xf numFmtId="0" fontId="0" fillId="9" borderId="0" xfId="0" applyFill="1" applyAlignment="1">
      <alignment horizontal="center"/>
    </xf>
    <xf numFmtId="0" fontId="74" fillId="5" borderId="14" xfId="0" applyFont="1" applyFill="1" applyBorder="1" applyAlignment="1">
      <alignment horizontal="center" vertical="center" wrapText="1"/>
    </xf>
    <xf numFmtId="0" fontId="74" fillId="22" borderId="1" xfId="0" applyFont="1" applyFill="1" applyBorder="1" applyAlignment="1">
      <alignment horizontal="center" vertical="center" wrapText="1"/>
    </xf>
    <xf numFmtId="0" fontId="74" fillId="24" borderId="1" xfId="0" applyFont="1" applyFill="1" applyBorder="1" applyAlignment="1">
      <alignment horizontal="center" vertical="center" wrapText="1"/>
    </xf>
    <xf numFmtId="0" fontId="70" fillId="12" borderId="8" xfId="0" applyFont="1" applyFill="1" applyBorder="1" applyAlignment="1">
      <alignment horizontal="center" vertical="center"/>
    </xf>
    <xf numFmtId="0" fontId="32" fillId="0" borderId="0" xfId="0" applyFont="1"/>
    <xf numFmtId="0" fontId="70" fillId="3" borderId="10" xfId="0" applyFont="1" applyFill="1" applyBorder="1" applyAlignment="1">
      <alignment vertical="center" wrapText="1"/>
    </xf>
    <xf numFmtId="0" fontId="70" fillId="3" borderId="17" xfId="0" applyFont="1" applyFill="1" applyBorder="1" applyAlignment="1">
      <alignment vertical="center" wrapText="1"/>
    </xf>
    <xf numFmtId="0" fontId="74" fillId="26" borderId="1" xfId="0" applyFont="1" applyFill="1" applyBorder="1" applyAlignment="1">
      <alignment horizontal="center" vertical="center" wrapText="1"/>
    </xf>
    <xf numFmtId="0" fontId="74" fillId="26" borderId="14" xfId="0" applyFont="1" applyFill="1" applyBorder="1" applyAlignment="1">
      <alignment horizontal="center" vertical="center" wrapText="1"/>
    </xf>
    <xf numFmtId="0" fontId="74" fillId="22" borderId="14" xfId="0" applyFont="1" applyFill="1" applyBorder="1" applyAlignment="1">
      <alignment horizontal="center" vertical="center" wrapText="1"/>
    </xf>
    <xf numFmtId="1" fontId="0" fillId="9" borderId="0" xfId="0" applyNumberFormat="1" applyFill="1" applyAlignment="1">
      <alignment horizontal="center"/>
    </xf>
    <xf numFmtId="2" fontId="0" fillId="9" borderId="0" xfId="0" applyNumberFormat="1" applyFill="1" applyAlignment="1">
      <alignment horizontal="center"/>
    </xf>
    <xf numFmtId="0" fontId="32" fillId="0" borderId="0" xfId="0" applyFont="1" applyAlignment="1">
      <alignment horizontal="center"/>
    </xf>
    <xf numFmtId="0" fontId="0" fillId="9" borderId="0" xfId="0" applyFill="1"/>
    <xf numFmtId="0" fontId="74" fillId="28" borderId="16" xfId="0" applyFont="1" applyFill="1" applyBorder="1" applyAlignment="1">
      <alignment horizontal="center" vertical="center" wrapText="1"/>
    </xf>
    <xf numFmtId="167" fontId="0" fillId="9" borderId="0" xfId="1" applyNumberFormat="1" applyFont="1" applyFill="1" applyAlignment="1">
      <alignment horizontal="center"/>
    </xf>
    <xf numFmtId="166" fontId="80" fillId="29" borderId="0" xfId="0" applyNumberFormat="1" applyFont="1" applyFill="1" applyAlignment="1">
      <alignment horizontal="center"/>
    </xf>
    <xf numFmtId="167" fontId="80" fillId="29" borderId="0" xfId="1" applyNumberFormat="1" applyFont="1" applyFill="1" applyAlignment="1">
      <alignment horizontal="center"/>
    </xf>
    <xf numFmtId="0" fontId="80" fillId="12" borderId="8" xfId="0" applyFont="1" applyFill="1" applyBorder="1" applyAlignment="1">
      <alignment horizontal="center" vertical="center" wrapText="1"/>
    </xf>
    <xf numFmtId="0" fontId="75" fillId="7" borderId="8" xfId="0" applyFont="1" applyFill="1" applyBorder="1" applyAlignment="1">
      <alignment horizontal="center" vertical="center" wrapText="1"/>
    </xf>
    <xf numFmtId="0" fontId="32" fillId="0" borderId="8" xfId="0" applyFont="1" applyBorder="1" applyAlignment="1">
      <alignment horizontal="center"/>
    </xf>
    <xf numFmtId="0" fontId="32" fillId="11" borderId="0" xfId="0" applyFont="1" applyFill="1" applyAlignment="1">
      <alignment horizontal="center"/>
    </xf>
    <xf numFmtId="0" fontId="32" fillId="11" borderId="0" xfId="0" applyFont="1" applyFill="1"/>
    <xf numFmtId="0" fontId="74" fillId="24" borderId="14" xfId="0" applyFont="1" applyFill="1" applyBorder="1" applyAlignment="1">
      <alignment horizontal="center" vertical="center" wrapText="1"/>
    </xf>
    <xf numFmtId="0" fontId="31" fillId="0" borderId="0" xfId="0" applyFont="1"/>
    <xf numFmtId="0" fontId="80" fillId="29" borderId="0" xfId="0" applyFont="1" applyFill="1" applyAlignment="1">
      <alignment horizontal="center"/>
    </xf>
    <xf numFmtId="2" fontId="80" fillId="29" borderId="0" xfId="0" applyNumberFormat="1" applyFont="1" applyFill="1" applyAlignment="1">
      <alignment horizontal="center"/>
    </xf>
    <xf numFmtId="0" fontId="31" fillId="11" borderId="0" xfId="0" applyFont="1" applyFill="1"/>
    <xf numFmtId="0" fontId="31" fillId="0" borderId="0" xfId="0" applyFont="1" applyAlignment="1">
      <alignment horizontal="center"/>
    </xf>
    <xf numFmtId="9" fontId="80" fillId="29" borderId="0" xfId="1" applyFont="1" applyFill="1" applyAlignment="1">
      <alignment horizontal="center"/>
    </xf>
    <xf numFmtId="168" fontId="0" fillId="9" borderId="0" xfId="0" applyNumberFormat="1" applyFill="1"/>
    <xf numFmtId="0" fontId="29" fillId="0" borderId="0" xfId="0" applyFont="1"/>
    <xf numFmtId="0" fontId="29" fillId="11" borderId="0" xfId="0" applyFont="1" applyFill="1"/>
    <xf numFmtId="0" fontId="29" fillId="0" borderId="0" xfId="0" applyFont="1" applyAlignment="1">
      <alignment horizontal="center"/>
    </xf>
    <xf numFmtId="0" fontId="28" fillId="0" borderId="0" xfId="0" applyFont="1"/>
    <xf numFmtId="167" fontId="0" fillId="11" borderId="0" xfId="1" applyNumberFormat="1" applyFont="1" applyFill="1" applyAlignment="1">
      <alignment horizontal="center"/>
    </xf>
    <xf numFmtId="0" fontId="28" fillId="0" borderId="0" xfId="0" applyFont="1" applyAlignment="1">
      <alignment horizontal="center"/>
    </xf>
    <xf numFmtId="2" fontId="28" fillId="9" borderId="0" xfId="0" applyNumberFormat="1" applyFont="1" applyFill="1" applyAlignment="1">
      <alignment horizontal="center"/>
    </xf>
    <xf numFmtId="9" fontId="28" fillId="9" borderId="0" xfId="1" applyFont="1" applyFill="1" applyAlignment="1">
      <alignment horizontal="center"/>
    </xf>
    <xf numFmtId="0" fontId="28" fillId="11" borderId="0" xfId="0" applyFont="1" applyFill="1" applyAlignment="1">
      <alignment horizontal="center"/>
    </xf>
    <xf numFmtId="0" fontId="80" fillId="12" borderId="8" xfId="0" applyFont="1" applyFill="1" applyBorder="1" applyAlignment="1">
      <alignment horizontal="center" vertical="center"/>
    </xf>
    <xf numFmtId="0" fontId="27" fillId="0" borderId="0" xfId="0" applyFont="1"/>
    <xf numFmtId="0" fontId="26" fillId="0" borderId="0" xfId="0" applyFont="1"/>
    <xf numFmtId="165" fontId="0" fillId="9" borderId="0" xfId="0" applyNumberFormat="1" applyFill="1" applyAlignment="1">
      <alignment horizontal="center"/>
    </xf>
    <xf numFmtId="0" fontId="25" fillId="0" borderId="0" xfId="0" applyFont="1"/>
    <xf numFmtId="0" fontId="24" fillId="0" borderId="0" xfId="0" applyFont="1"/>
    <xf numFmtId="1" fontId="0" fillId="0" borderId="0" xfId="0" applyNumberFormat="1" applyAlignment="1">
      <alignment horizontal="center"/>
    </xf>
    <xf numFmtId="0" fontId="22" fillId="0" borderId="0" xfId="0" applyFont="1"/>
    <xf numFmtId="0" fontId="22" fillId="0" borderId="0" xfId="0" applyFont="1" applyAlignment="1">
      <alignment horizontal="center"/>
    </xf>
    <xf numFmtId="0" fontId="22" fillId="11" borderId="0" xfId="0" applyFont="1" applyFill="1" applyAlignment="1">
      <alignment horizontal="center"/>
    </xf>
    <xf numFmtId="0" fontId="21" fillId="0" borderId="0" xfId="0" applyFont="1"/>
    <xf numFmtId="0" fontId="20" fillId="0" borderId="0" xfId="0" applyFont="1"/>
    <xf numFmtId="0" fontId="19" fillId="0" borderId="0" xfId="0" applyFont="1"/>
    <xf numFmtId="9" fontId="0" fillId="9" borderId="0" xfId="1" applyFont="1" applyFill="1" applyAlignment="1">
      <alignment horizontal="center"/>
    </xf>
    <xf numFmtId="0" fontId="69" fillId="0" borderId="15" xfId="0" applyFont="1" applyBorder="1" applyAlignment="1">
      <alignment horizontal="center"/>
    </xf>
    <xf numFmtId="0" fontId="18" fillId="0" borderId="0" xfId="0" applyFont="1"/>
    <xf numFmtId="0" fontId="17" fillId="0" borderId="0" xfId="0" applyFont="1"/>
    <xf numFmtId="0" fontId="16" fillId="0" borderId="0" xfId="0" applyFont="1"/>
    <xf numFmtId="0" fontId="15" fillId="0" borderId="0" xfId="0" applyFont="1"/>
    <xf numFmtId="0" fontId="32" fillId="9" borderId="0" xfId="0" applyFont="1" applyFill="1"/>
    <xf numFmtId="166" fontId="0" fillId="0" borderId="0" xfId="0" applyNumberFormat="1" applyAlignment="1">
      <alignment horizontal="center" vertical="center"/>
    </xf>
    <xf numFmtId="0" fontId="14" fillId="0" borderId="0" xfId="0" applyFont="1"/>
    <xf numFmtId="0" fontId="13" fillId="0" borderId="0" xfId="0" applyFont="1"/>
    <xf numFmtId="0" fontId="12" fillId="0" borderId="0" xfId="0" applyFont="1"/>
    <xf numFmtId="0" fontId="32" fillId="10" borderId="0" xfId="0" applyFont="1" applyFill="1"/>
    <xf numFmtId="0" fontId="11" fillId="0" borderId="0" xfId="0" applyFont="1"/>
    <xf numFmtId="0" fontId="10" fillId="0" borderId="0" xfId="0" applyFont="1"/>
    <xf numFmtId="0" fontId="9" fillId="0" borderId="0" xfId="0" applyFont="1"/>
    <xf numFmtId="0" fontId="30" fillId="11" borderId="0" xfId="0" applyFont="1" applyFill="1" applyAlignment="1">
      <alignment horizontal="center"/>
    </xf>
    <xf numFmtId="0" fontId="26" fillId="11" borderId="0" xfId="0" applyFont="1" applyFill="1" applyAlignment="1">
      <alignment horizontal="center"/>
    </xf>
    <xf numFmtId="0" fontId="24" fillId="11" borderId="0" xfId="0" applyFont="1" applyFill="1" applyAlignment="1">
      <alignment horizontal="center"/>
    </xf>
    <xf numFmtId="0" fontId="23" fillId="11" borderId="0" xfId="0" applyFont="1" applyFill="1" applyAlignment="1">
      <alignment horizontal="center"/>
    </xf>
    <xf numFmtId="0" fontId="19" fillId="11" borderId="0" xfId="0" applyFont="1" applyFill="1" applyAlignment="1">
      <alignment horizontal="center"/>
    </xf>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xf numFmtId="9" fontId="72" fillId="0" borderId="0" xfId="1" applyFont="1" applyFill="1" applyAlignment="1">
      <alignment horizontal="center" vertical="center" wrapText="1"/>
    </xf>
    <xf numFmtId="0" fontId="72" fillId="14" borderId="2" xfId="0" applyFont="1" applyFill="1" applyBorder="1" applyAlignment="1">
      <alignment horizontal="center" vertical="center"/>
    </xf>
    <xf numFmtId="0" fontId="71" fillId="15" borderId="5" xfId="0" applyFont="1" applyFill="1" applyBorder="1" applyAlignment="1">
      <alignment horizontal="center"/>
    </xf>
    <xf numFmtId="0" fontId="71" fillId="15" borderId="3" xfId="0" applyFont="1" applyFill="1" applyBorder="1" applyAlignment="1">
      <alignment horizontal="center"/>
    </xf>
    <xf numFmtId="0" fontId="70" fillId="3" borderId="2" xfId="0" applyFont="1" applyFill="1" applyBorder="1" applyAlignment="1">
      <alignment horizontal="center" vertical="center" wrapText="1"/>
    </xf>
    <xf numFmtId="0" fontId="71" fillId="0" borderId="3" xfId="0" applyFont="1" applyBorder="1"/>
    <xf numFmtId="0" fontId="70" fillId="16" borderId="12" xfId="0" applyFont="1" applyFill="1" applyBorder="1" applyAlignment="1">
      <alignment horizontal="center" vertical="center" wrapText="1"/>
    </xf>
    <xf numFmtId="0" fontId="70" fillId="16" borderId="5" xfId="0" applyFont="1" applyFill="1" applyBorder="1" applyAlignment="1">
      <alignment horizontal="center" vertical="center" wrapText="1"/>
    </xf>
    <xf numFmtId="0" fontId="70" fillId="16" borderId="13" xfId="0" applyFont="1" applyFill="1" applyBorder="1" applyAlignment="1">
      <alignment horizontal="center" vertical="center" wrapText="1"/>
    </xf>
    <xf numFmtId="0" fontId="70" fillId="27" borderId="7" xfId="0" applyFont="1" applyFill="1" applyBorder="1" applyAlignment="1">
      <alignment horizontal="center" vertical="center" wrapText="1"/>
    </xf>
    <xf numFmtId="0" fontId="70" fillId="27" borderId="8" xfId="0" applyFont="1" applyFill="1" applyBorder="1" applyAlignment="1">
      <alignment horizontal="center" vertical="center" wrapText="1"/>
    </xf>
    <xf numFmtId="0" fontId="70" fillId="2" borderId="12" xfId="0" applyFont="1" applyFill="1" applyBorder="1" applyAlignment="1">
      <alignment horizontal="center" vertical="center" wrapText="1"/>
    </xf>
    <xf numFmtId="0" fontId="70" fillId="2" borderId="5" xfId="0" applyFont="1" applyFill="1" applyBorder="1" applyAlignment="1">
      <alignment horizontal="center" vertical="center" wrapText="1"/>
    </xf>
    <xf numFmtId="0" fontId="70" fillId="2" borderId="13" xfId="0" applyFont="1" applyFill="1" applyBorder="1" applyAlignment="1">
      <alignment horizontal="center" vertical="center" wrapText="1"/>
    </xf>
    <xf numFmtId="0" fontId="70" fillId="18" borderId="10" xfId="0" applyFont="1" applyFill="1" applyBorder="1" applyAlignment="1">
      <alignment horizontal="center" vertical="center" wrapText="1"/>
    </xf>
    <xf numFmtId="0" fontId="70" fillId="18" borderId="17" xfId="0" applyFont="1" applyFill="1" applyBorder="1" applyAlignment="1">
      <alignment horizontal="center" vertical="center" wrapText="1"/>
    </xf>
    <xf numFmtId="0" fontId="70" fillId="18" borderId="11" xfId="0" applyFont="1" applyFill="1" applyBorder="1" applyAlignment="1">
      <alignment horizontal="center" vertical="center" wrapText="1"/>
    </xf>
    <xf numFmtId="0" fontId="71" fillId="0" borderId="5" xfId="0" applyFont="1" applyBorder="1" applyAlignment="1">
      <alignment horizontal="center"/>
    </xf>
    <xf numFmtId="0" fontId="71" fillId="0" borderId="3" xfId="0" applyFont="1" applyBorder="1" applyAlignment="1">
      <alignment horizontal="center"/>
    </xf>
    <xf numFmtId="0" fontId="70" fillId="3" borderId="12" xfId="0" applyFont="1" applyFill="1" applyBorder="1" applyAlignment="1">
      <alignment horizontal="center" vertical="center" wrapText="1"/>
    </xf>
    <xf numFmtId="0" fontId="70" fillId="3" borderId="13" xfId="0" applyFont="1" applyFill="1" applyBorder="1" applyAlignment="1">
      <alignment horizontal="center" vertical="center" wrapText="1"/>
    </xf>
    <xf numFmtId="0" fontId="70" fillId="2" borderId="10" xfId="0" applyFont="1" applyFill="1" applyBorder="1" applyAlignment="1">
      <alignment horizontal="center" vertical="center" wrapText="1"/>
    </xf>
    <xf numFmtId="0" fontId="70" fillId="2" borderId="17" xfId="0" applyFont="1" applyFill="1" applyBorder="1" applyAlignment="1">
      <alignment horizontal="center" vertical="center" wrapText="1"/>
    </xf>
    <xf numFmtId="0" fontId="70" fillId="21" borderId="17" xfId="0" applyFont="1" applyFill="1" applyBorder="1" applyAlignment="1">
      <alignment horizontal="center" vertical="center" wrapText="1"/>
    </xf>
    <xf numFmtId="0" fontId="70" fillId="23" borderId="17" xfId="0" applyFont="1" applyFill="1" applyBorder="1" applyAlignment="1">
      <alignment horizontal="center" vertical="center" wrapText="1"/>
    </xf>
    <xf numFmtId="0" fontId="70" fillId="21" borderId="7" xfId="0" applyFont="1" applyFill="1" applyBorder="1" applyAlignment="1">
      <alignment horizontal="center" vertical="center" wrapText="1"/>
    </xf>
    <xf numFmtId="0" fontId="70" fillId="21" borderId="8" xfId="0" applyFont="1" applyFill="1" applyBorder="1" applyAlignment="1">
      <alignment horizontal="center" vertical="center" wrapText="1"/>
    </xf>
    <xf numFmtId="0" fontId="70" fillId="25" borderId="17" xfId="0" applyFont="1" applyFill="1" applyBorder="1" applyAlignment="1">
      <alignment horizontal="center" vertical="center" wrapText="1"/>
    </xf>
    <xf numFmtId="0" fontId="70" fillId="25" borderId="11" xfId="0" applyFont="1" applyFill="1" applyBorder="1" applyAlignment="1">
      <alignment horizontal="center" vertical="center" wrapText="1"/>
    </xf>
    <xf numFmtId="0" fontId="70" fillId="21" borderId="5" xfId="0" applyFont="1" applyFill="1" applyBorder="1" applyAlignment="1">
      <alignment horizontal="center" vertical="center" wrapText="1"/>
    </xf>
    <xf numFmtId="0" fontId="70" fillId="21" borderId="13" xfId="0" applyFont="1" applyFill="1" applyBorder="1" applyAlignment="1">
      <alignment horizontal="center" vertical="center" wrapText="1"/>
    </xf>
    <xf numFmtId="0" fontId="70" fillId="3" borderId="5" xfId="0" applyFont="1" applyFill="1" applyBorder="1" applyAlignment="1">
      <alignment horizontal="center" vertical="center" wrapText="1"/>
    </xf>
    <xf numFmtId="0" fontId="72" fillId="0" borderId="7" xfId="0" applyFont="1" applyBorder="1" applyAlignment="1">
      <alignment horizontal="center" vertical="center"/>
    </xf>
    <xf numFmtId="0" fontId="72" fillId="0" borderId="8" xfId="0" applyFont="1" applyBorder="1" applyAlignment="1">
      <alignment horizontal="center" vertical="center"/>
    </xf>
    <xf numFmtId="0" fontId="70" fillId="23" borderId="12" xfId="0" applyFont="1" applyFill="1" applyBorder="1" applyAlignment="1">
      <alignment horizontal="center" vertical="center" wrapText="1"/>
    </xf>
    <xf numFmtId="0" fontId="70" fillId="23" borderId="13" xfId="0" applyFont="1" applyFill="1"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00729A"/>
      <color rgb="FF0070C0"/>
      <color rgb="FF5B9BD5"/>
      <color rgb="FF0097CC"/>
      <color rgb="FF9BE5FF"/>
      <color rgb="FFFFFF00"/>
      <color rgb="FFFF0000"/>
      <color rgb="FFB1BBB1"/>
      <color rgb="FF218583"/>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Modules!$AJ$2:$AJ$3</c:f>
              <c:strCache>
                <c:ptCount val="2"/>
                <c:pt idx="0">
                  <c:v>Module Mass</c:v>
                </c:pt>
                <c:pt idx="1">
                  <c:v>kg</c:v>
                </c:pt>
              </c:strCache>
            </c:strRef>
          </c:tx>
          <c:spPr>
            <a:ln w="19050" cap="rnd">
              <a:noFill/>
              <a:round/>
            </a:ln>
            <a:effectLst/>
          </c:spPr>
          <c:marker>
            <c:symbol val="circle"/>
            <c:size val="9"/>
            <c:spPr>
              <a:solidFill>
                <a:schemeClr val="accent1">
                  <a:alpha val="37309"/>
                </a:schemeClr>
              </a:solidFill>
              <a:ln w="9525">
                <a:noFill/>
              </a:ln>
              <a:effectLst/>
            </c:spPr>
          </c:marker>
          <c:trendline>
            <c:spPr>
              <a:ln w="19050" cap="rnd">
                <a:solidFill>
                  <a:schemeClr val="accent1"/>
                </a:solidFill>
                <a:prstDash val="dash"/>
              </a:ln>
              <a:effectLst/>
            </c:spPr>
            <c:trendlineType val="linear"/>
            <c:intercept val="0"/>
            <c:dispRSqr val="0"/>
            <c:dispEq val="1"/>
            <c:trendlineLbl>
              <c:layout>
                <c:manualLayout>
                  <c:x val="-3.9594694578766972E-2"/>
                  <c:y val="-1.1513490813648294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accent1"/>
                      </a:solidFill>
                      <a:latin typeface="+mn-lt"/>
                      <a:ea typeface="+mn-ea"/>
                      <a:cs typeface="+mn-cs"/>
                    </a:defRPr>
                  </a:pPr>
                  <a:endParaRPr lang="en-US"/>
                </a:p>
              </c:txPr>
            </c:trendlineLbl>
          </c:trendline>
          <c:xVal>
            <c:numRef>
              <c:f>Modules!$J$4:$J$100</c:f>
              <c:numCache>
                <c:formatCode>0</c:formatCode>
                <c:ptCount val="97"/>
                <c:pt idx="0">
                  <c:v>3179.6880000000001</c:v>
                </c:pt>
                <c:pt idx="1">
                  <c:v>6907.68</c:v>
                </c:pt>
                <c:pt idx="2">
                  <c:v>6907.68</c:v>
                </c:pt>
                <c:pt idx="3">
                  <c:v>10344.880000000001</c:v>
                </c:pt>
                <c:pt idx="4">
                  <c:v>10344.880000000001</c:v>
                </c:pt>
                <c:pt idx="5" formatCode="General">
                  <c:v>2800</c:v>
                </c:pt>
                <c:pt idx="6" formatCode="General">
                  <c:v>2000</c:v>
                </c:pt>
                <c:pt idx="7" formatCode="General">
                  <c:v>2000</c:v>
                </c:pt>
                <c:pt idx="8" formatCode="General">
                  <c:v>7600</c:v>
                </c:pt>
                <c:pt idx="9" formatCode="General">
                  <c:v>7600</c:v>
                </c:pt>
                <c:pt idx="10" formatCode="General">
                  <c:v>5500</c:v>
                </c:pt>
                <c:pt idx="11" formatCode="General">
                  <c:v>8800</c:v>
                </c:pt>
                <c:pt idx="12" formatCode="General">
                  <c:v>8100</c:v>
                </c:pt>
                <c:pt idx="13" formatCode="General">
                  <c:v>6300</c:v>
                </c:pt>
                <c:pt idx="14" formatCode="General">
                  <c:v>2308.8000000000002</c:v>
                </c:pt>
                <c:pt idx="15" formatCode="General">
                  <c:v>1950</c:v>
                </c:pt>
                <c:pt idx="16" formatCode="General">
                  <c:v>6900</c:v>
                </c:pt>
                <c:pt idx="17" formatCode="General">
                  <c:v>2304</c:v>
                </c:pt>
                <c:pt idx="18" formatCode="General">
                  <c:v>2560</c:v>
                </c:pt>
                <c:pt idx="19" formatCode="General">
                  <c:v>4032</c:v>
                </c:pt>
                <c:pt idx="20" formatCode="General">
                  <c:v>4480</c:v>
                </c:pt>
                <c:pt idx="21" formatCode="General">
                  <c:v>7168</c:v>
                </c:pt>
                <c:pt idx="22" formatCode="General">
                  <c:v>10752</c:v>
                </c:pt>
                <c:pt idx="23" formatCode="General">
                  <c:v>2650</c:v>
                </c:pt>
                <c:pt idx="24">
                  <c:v>2554.3200000000002</c:v>
                </c:pt>
                <c:pt idx="25" formatCode="General">
                  <c:v>2558</c:v>
                </c:pt>
                <c:pt idx="26" formatCode="General">
                  <c:v>6640</c:v>
                </c:pt>
                <c:pt idx="27" formatCode="General">
                  <c:v>2980</c:v>
                </c:pt>
                <c:pt idx="28" formatCode="General">
                  <c:v>2215</c:v>
                </c:pt>
                <c:pt idx="29" formatCode="General">
                  <c:v>2264</c:v>
                </c:pt>
                <c:pt idx="30" formatCode="General">
                  <c:v>1728</c:v>
                </c:pt>
                <c:pt idx="31" formatCode="General">
                  <c:v>2591</c:v>
                </c:pt>
                <c:pt idx="32" formatCode="General">
                  <c:v>7731</c:v>
                </c:pt>
                <c:pt idx="33" formatCode="General">
                  <c:v>7168</c:v>
                </c:pt>
                <c:pt idx="34" formatCode="General">
                  <c:v>2560</c:v>
                </c:pt>
                <c:pt idx="35" formatCode="General">
                  <c:v>1280</c:v>
                </c:pt>
                <c:pt idx="36" formatCode="General">
                  <c:v>5888</c:v>
                </c:pt>
                <c:pt idx="37">
                  <c:v>1308.96</c:v>
                </c:pt>
                <c:pt idx="38">
                  <c:v>2880.2159999999999</c:v>
                </c:pt>
                <c:pt idx="39">
                  <c:v>5223.1439999999993</c:v>
                </c:pt>
                <c:pt idx="40">
                  <c:v>5223.1440000000002</c:v>
                </c:pt>
                <c:pt idx="41" formatCode="General">
                  <c:v>5275</c:v>
                </c:pt>
                <c:pt idx="42" formatCode="General">
                  <c:v>2548.8000000000002</c:v>
                </c:pt>
                <c:pt idx="43" formatCode="General">
                  <c:v>6850</c:v>
                </c:pt>
                <c:pt idx="44" formatCode="General">
                  <c:v>6850</c:v>
                </c:pt>
                <c:pt idx="45" formatCode="General">
                  <c:v>438</c:v>
                </c:pt>
                <c:pt idx="46" formatCode="General">
                  <c:v>4150</c:v>
                </c:pt>
                <c:pt idx="47">
                  <c:v>11039.36</c:v>
                </c:pt>
                <c:pt idx="48">
                  <c:v>1693.44</c:v>
                </c:pt>
                <c:pt idx="49">
                  <c:v>4416</c:v>
                </c:pt>
                <c:pt idx="50">
                  <c:v>5888</c:v>
                </c:pt>
                <c:pt idx="51">
                  <c:v>2944</c:v>
                </c:pt>
                <c:pt idx="52">
                  <c:v>8064</c:v>
                </c:pt>
                <c:pt idx="53">
                  <c:v>27456</c:v>
                </c:pt>
                <c:pt idx="54">
                  <c:v>192192</c:v>
                </c:pt>
                <c:pt idx="55">
                  <c:v>2601.7600000000002</c:v>
                </c:pt>
                <c:pt idx="56">
                  <c:v>3490.48</c:v>
                </c:pt>
                <c:pt idx="57" formatCode="General">
                  <c:v>3360</c:v>
                </c:pt>
                <c:pt idx="58" formatCode="General">
                  <c:v>4032</c:v>
                </c:pt>
                <c:pt idx="59" formatCode="General">
                  <c:v>13440</c:v>
                </c:pt>
                <c:pt idx="60" formatCode="General">
                  <c:v>4428.8</c:v>
                </c:pt>
                <c:pt idx="61" formatCode="General">
                  <c:v>6643.2</c:v>
                </c:pt>
                <c:pt idx="62" formatCode="General">
                  <c:v>8832</c:v>
                </c:pt>
                <c:pt idx="63" formatCode="General">
                  <c:v>10304</c:v>
                </c:pt>
                <c:pt idx="64" formatCode="General">
                  <c:v>11776</c:v>
                </c:pt>
                <c:pt idx="65" formatCode="General">
                  <c:v>3891.2000000000003</c:v>
                </c:pt>
                <c:pt idx="66" formatCode="General">
                  <c:v>9728</c:v>
                </c:pt>
                <c:pt idx="67" formatCode="General">
                  <c:v>11673.6</c:v>
                </c:pt>
                <c:pt idx="68" formatCode="General">
                  <c:v>13619.199999999999</c:v>
                </c:pt>
                <c:pt idx="69" formatCode="General">
                  <c:v>6624</c:v>
                </c:pt>
                <c:pt idx="70" formatCode="General">
                  <c:v>11776</c:v>
                </c:pt>
                <c:pt idx="71" formatCode="General">
                  <c:v>12057.6</c:v>
                </c:pt>
                <c:pt idx="72" formatCode="General">
                  <c:v>4416</c:v>
                </c:pt>
                <c:pt idx="73" formatCode="General">
                  <c:v>5888</c:v>
                </c:pt>
                <c:pt idx="74" formatCode="General">
                  <c:v>11776</c:v>
                </c:pt>
                <c:pt idx="75" formatCode="General">
                  <c:v>2940</c:v>
                </c:pt>
                <c:pt idx="76" formatCode="General">
                  <c:v>35230</c:v>
                </c:pt>
                <c:pt idx="77" formatCode="General">
                  <c:v>7400</c:v>
                </c:pt>
                <c:pt idx="78" formatCode="General">
                  <c:v>11200</c:v>
                </c:pt>
                <c:pt idx="79" formatCode="General">
                  <c:v>14900</c:v>
                </c:pt>
                <c:pt idx="80" formatCode="General">
                  <c:v>6500</c:v>
                </c:pt>
                <c:pt idx="81" formatCode="General">
                  <c:v>9800</c:v>
                </c:pt>
                <c:pt idx="82" formatCode="General">
                  <c:v>13000</c:v>
                </c:pt>
                <c:pt idx="83" formatCode="General">
                  <c:v>3300</c:v>
                </c:pt>
                <c:pt idx="84" formatCode="General">
                  <c:v>6600</c:v>
                </c:pt>
                <c:pt idx="85" formatCode="General">
                  <c:v>3100</c:v>
                </c:pt>
                <c:pt idx="86" formatCode="General">
                  <c:v>3300</c:v>
                </c:pt>
                <c:pt idx="87" formatCode="General">
                  <c:v>6500</c:v>
                </c:pt>
                <c:pt idx="88" formatCode="General">
                  <c:v>19320</c:v>
                </c:pt>
                <c:pt idx="89" formatCode="General">
                  <c:v>19320</c:v>
                </c:pt>
                <c:pt idx="90">
                  <c:v>35007.840000000004</c:v>
                </c:pt>
                <c:pt idx="91">
                  <c:v>35239.68</c:v>
                </c:pt>
                <c:pt idx="92">
                  <c:v>35094.78</c:v>
                </c:pt>
                <c:pt idx="93">
                  <c:v>29173.200000000004</c:v>
                </c:pt>
                <c:pt idx="94">
                  <c:v>28632.240000000002</c:v>
                </c:pt>
                <c:pt idx="95">
                  <c:v>30081.240000000005</c:v>
                </c:pt>
                <c:pt idx="96">
                  <c:v>29720.600000000002</c:v>
                </c:pt>
              </c:numCache>
            </c:numRef>
          </c:xVal>
          <c:yVal>
            <c:numRef>
              <c:f>Modules!$AJ$4:$AJ$100</c:f>
              <c:numCache>
                <c:formatCode>General</c:formatCode>
                <c:ptCount val="97"/>
                <c:pt idx="0">
                  <c:v>13.2</c:v>
                </c:pt>
                <c:pt idx="1">
                  <c:v>31</c:v>
                </c:pt>
                <c:pt idx="2">
                  <c:v>31</c:v>
                </c:pt>
                <c:pt idx="3">
                  <c:v>54.5</c:v>
                </c:pt>
                <c:pt idx="4">
                  <c:v>54.5</c:v>
                </c:pt>
                <c:pt idx="5">
                  <c:v>22</c:v>
                </c:pt>
                <c:pt idx="6">
                  <c:v>17</c:v>
                </c:pt>
                <c:pt idx="7">
                  <c:v>17</c:v>
                </c:pt>
                <c:pt idx="8">
                  <c:v>52.5</c:v>
                </c:pt>
                <c:pt idx="9">
                  <c:v>53</c:v>
                </c:pt>
                <c:pt idx="10">
                  <c:v>49</c:v>
                </c:pt>
                <c:pt idx="11">
                  <c:v>61</c:v>
                </c:pt>
                <c:pt idx="12">
                  <c:v>56</c:v>
                </c:pt>
                <c:pt idx="13">
                  <c:v>54</c:v>
                </c:pt>
                <c:pt idx="14">
                  <c:v>11</c:v>
                </c:pt>
                <c:pt idx="15">
                  <c:v>9.85</c:v>
                </c:pt>
                <c:pt idx="16">
                  <c:v>29.4</c:v>
                </c:pt>
                <c:pt idx="17">
                  <c:v>18</c:v>
                </c:pt>
                <c:pt idx="18">
                  <c:v>17</c:v>
                </c:pt>
                <c:pt idx="19">
                  <c:v>25.8</c:v>
                </c:pt>
                <c:pt idx="20">
                  <c:v>25.8</c:v>
                </c:pt>
                <c:pt idx="21">
                  <c:v>45.15</c:v>
                </c:pt>
                <c:pt idx="22">
                  <c:v>67</c:v>
                </c:pt>
                <c:pt idx="23">
                  <c:v>12</c:v>
                </c:pt>
                <c:pt idx="24">
                  <c:v>12</c:v>
                </c:pt>
                <c:pt idx="25">
                  <c:v>12.1</c:v>
                </c:pt>
                <c:pt idx="26">
                  <c:v>31.4</c:v>
                </c:pt>
                <c:pt idx="27">
                  <c:v>14.5</c:v>
                </c:pt>
                <c:pt idx="28">
                  <c:v>11.5</c:v>
                </c:pt>
                <c:pt idx="29">
                  <c:v>11.2</c:v>
                </c:pt>
                <c:pt idx="30">
                  <c:v>11.6</c:v>
                </c:pt>
                <c:pt idx="31">
                  <c:v>11.9</c:v>
                </c:pt>
                <c:pt idx="32">
                  <c:v>46</c:v>
                </c:pt>
                <c:pt idx="33">
                  <c:v>45.1</c:v>
                </c:pt>
                <c:pt idx="34">
                  <c:v>19.739999999999998</c:v>
                </c:pt>
                <c:pt idx="35">
                  <c:v>10.44</c:v>
                </c:pt>
                <c:pt idx="36">
                  <c:v>35</c:v>
                </c:pt>
                <c:pt idx="37">
                  <c:v>9</c:v>
                </c:pt>
                <c:pt idx="38">
                  <c:v>13.5</c:v>
                </c:pt>
                <c:pt idx="39">
                  <c:v>23</c:v>
                </c:pt>
                <c:pt idx="40">
                  <c:v>23</c:v>
                </c:pt>
                <c:pt idx="41">
                  <c:v>29.8</c:v>
                </c:pt>
                <c:pt idx="42">
                  <c:v>12</c:v>
                </c:pt>
                <c:pt idx="43">
                  <c:v>32</c:v>
                </c:pt>
                <c:pt idx="44">
                  <c:v>32</c:v>
                </c:pt>
                <c:pt idx="45">
                  <c:v>3.64</c:v>
                </c:pt>
                <c:pt idx="46">
                  <c:v>28</c:v>
                </c:pt>
                <c:pt idx="47">
                  <c:v>45</c:v>
                </c:pt>
                <c:pt idx="48">
                  <c:v>10</c:v>
                </c:pt>
                <c:pt idx="49">
                  <c:v>26.7</c:v>
                </c:pt>
                <c:pt idx="50">
                  <c:v>35</c:v>
                </c:pt>
                <c:pt idx="51">
                  <c:v>18.3</c:v>
                </c:pt>
                <c:pt idx="52">
                  <c:v>50</c:v>
                </c:pt>
                <c:pt idx="53">
                  <c:v>202</c:v>
                </c:pt>
                <c:pt idx="54">
                  <c:v>1542</c:v>
                </c:pt>
                <c:pt idx="55">
                  <c:v>19.7</c:v>
                </c:pt>
                <c:pt idx="56">
                  <c:v>25.2</c:v>
                </c:pt>
                <c:pt idx="75" formatCode="0.0">
                  <c:v>19.09090909090909</c:v>
                </c:pt>
                <c:pt idx="76" formatCode="0.0">
                  <c:v>220.1875</c:v>
                </c:pt>
                <c:pt idx="77">
                  <c:v>46</c:v>
                </c:pt>
                <c:pt idx="78">
                  <c:v>68</c:v>
                </c:pt>
                <c:pt idx="79">
                  <c:v>89</c:v>
                </c:pt>
                <c:pt idx="80">
                  <c:v>46</c:v>
                </c:pt>
                <c:pt idx="81">
                  <c:v>68</c:v>
                </c:pt>
                <c:pt idx="82">
                  <c:v>89</c:v>
                </c:pt>
                <c:pt idx="83">
                  <c:v>28</c:v>
                </c:pt>
                <c:pt idx="84">
                  <c:v>47</c:v>
                </c:pt>
                <c:pt idx="85">
                  <c:v>31</c:v>
                </c:pt>
                <c:pt idx="86">
                  <c:v>24</c:v>
                </c:pt>
                <c:pt idx="87">
                  <c:v>44</c:v>
                </c:pt>
                <c:pt idx="88" formatCode="0.0">
                  <c:v>154.56</c:v>
                </c:pt>
                <c:pt idx="89" formatCode="0.0">
                  <c:v>154.56</c:v>
                </c:pt>
                <c:pt idx="90" formatCode="0">
                  <c:v>225.85703225806455</c:v>
                </c:pt>
                <c:pt idx="91" formatCode="0">
                  <c:v>227.35277419354838</c:v>
                </c:pt>
                <c:pt idx="92" formatCode="0">
                  <c:v>226.41793548387096</c:v>
                </c:pt>
                <c:pt idx="93" formatCode="0">
                  <c:v>188.21419354838713</c:v>
                </c:pt>
                <c:pt idx="94" formatCode="0">
                  <c:v>184.72412903225808</c:v>
                </c:pt>
                <c:pt idx="95" formatCode="0">
                  <c:v>194.07251612903229</c:v>
                </c:pt>
                <c:pt idx="96">
                  <c:v>218</c:v>
                </c:pt>
              </c:numCache>
            </c:numRef>
          </c:yVal>
          <c:smooth val="0"/>
          <c:extLst>
            <c:ext xmlns:c16="http://schemas.microsoft.com/office/drawing/2014/chart" uri="{C3380CC4-5D6E-409C-BE32-E72D297353CC}">
              <c16:uniqueId val="{00000000-5062-9047-9A6D-C31A9C5A071C}"/>
            </c:ext>
          </c:extLst>
        </c:ser>
        <c:ser>
          <c:idx val="1"/>
          <c:order val="1"/>
          <c:tx>
            <c:strRef>
              <c:f>Modules!$AQ$2</c:f>
              <c:strCache>
                <c:ptCount val="1"/>
                <c:pt idx="0">
                  <c:v>Module Volume</c:v>
                </c:pt>
              </c:strCache>
            </c:strRef>
          </c:tx>
          <c:spPr>
            <a:ln w="25400" cap="rnd">
              <a:noFill/>
              <a:round/>
            </a:ln>
            <a:effectLst/>
          </c:spPr>
          <c:marker>
            <c:symbol val="circle"/>
            <c:size val="9"/>
            <c:spPr>
              <a:solidFill>
                <a:schemeClr val="accent2">
                  <a:alpha val="57000"/>
                </a:schemeClr>
              </a:solidFill>
              <a:ln w="9525">
                <a:noFill/>
              </a:ln>
              <a:effectLst/>
            </c:spPr>
          </c:marker>
          <c:trendline>
            <c:spPr>
              <a:ln w="19050" cap="rnd">
                <a:solidFill>
                  <a:schemeClr val="accent2"/>
                </a:solidFill>
                <a:prstDash val="dash"/>
              </a:ln>
              <a:effectLst/>
            </c:spPr>
            <c:trendlineType val="linear"/>
            <c:intercept val="0"/>
            <c:dispRSqr val="0"/>
            <c:dispEq val="1"/>
            <c:trendlineLbl>
              <c:layout>
                <c:manualLayout>
                  <c:x val="2.6209576972729822E-2"/>
                  <c:y val="6.290498687664042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accent2"/>
                      </a:solidFill>
                      <a:latin typeface="+mn-lt"/>
                      <a:ea typeface="+mn-ea"/>
                      <a:cs typeface="+mn-cs"/>
                    </a:defRPr>
                  </a:pPr>
                  <a:endParaRPr lang="en-US"/>
                </a:p>
              </c:txPr>
            </c:trendlineLbl>
          </c:trendline>
          <c:xVal>
            <c:numRef>
              <c:f>Modules!$J$4:$J$100</c:f>
              <c:numCache>
                <c:formatCode>0</c:formatCode>
                <c:ptCount val="97"/>
                <c:pt idx="0">
                  <c:v>3179.6880000000001</c:v>
                </c:pt>
                <c:pt idx="1">
                  <c:v>6907.68</c:v>
                </c:pt>
                <c:pt idx="2">
                  <c:v>6907.68</c:v>
                </c:pt>
                <c:pt idx="3">
                  <c:v>10344.880000000001</c:v>
                </c:pt>
                <c:pt idx="4">
                  <c:v>10344.880000000001</c:v>
                </c:pt>
                <c:pt idx="5" formatCode="General">
                  <c:v>2800</c:v>
                </c:pt>
                <c:pt idx="6" formatCode="General">
                  <c:v>2000</c:v>
                </c:pt>
                <c:pt idx="7" formatCode="General">
                  <c:v>2000</c:v>
                </c:pt>
                <c:pt idx="8" formatCode="General">
                  <c:v>7600</c:v>
                </c:pt>
                <c:pt idx="9" formatCode="General">
                  <c:v>7600</c:v>
                </c:pt>
                <c:pt idx="10" formatCode="General">
                  <c:v>5500</c:v>
                </c:pt>
                <c:pt idx="11" formatCode="General">
                  <c:v>8800</c:v>
                </c:pt>
                <c:pt idx="12" formatCode="General">
                  <c:v>8100</c:v>
                </c:pt>
                <c:pt idx="13" formatCode="General">
                  <c:v>6300</c:v>
                </c:pt>
                <c:pt idx="14" formatCode="General">
                  <c:v>2308.8000000000002</c:v>
                </c:pt>
                <c:pt idx="15" formatCode="General">
                  <c:v>1950</c:v>
                </c:pt>
                <c:pt idx="16" formatCode="General">
                  <c:v>6900</c:v>
                </c:pt>
                <c:pt idx="17" formatCode="General">
                  <c:v>2304</c:v>
                </c:pt>
                <c:pt idx="18" formatCode="General">
                  <c:v>2560</c:v>
                </c:pt>
                <c:pt idx="19" formatCode="General">
                  <c:v>4032</c:v>
                </c:pt>
                <c:pt idx="20" formatCode="General">
                  <c:v>4480</c:v>
                </c:pt>
                <c:pt idx="21" formatCode="General">
                  <c:v>7168</c:v>
                </c:pt>
                <c:pt idx="22" formatCode="General">
                  <c:v>10752</c:v>
                </c:pt>
                <c:pt idx="23" formatCode="General">
                  <c:v>2650</c:v>
                </c:pt>
                <c:pt idx="24">
                  <c:v>2554.3200000000002</c:v>
                </c:pt>
                <c:pt idx="25" formatCode="General">
                  <c:v>2558</c:v>
                </c:pt>
                <c:pt idx="26" formatCode="General">
                  <c:v>6640</c:v>
                </c:pt>
                <c:pt idx="27" formatCode="General">
                  <c:v>2980</c:v>
                </c:pt>
                <c:pt idx="28" formatCode="General">
                  <c:v>2215</c:v>
                </c:pt>
                <c:pt idx="29" formatCode="General">
                  <c:v>2264</c:v>
                </c:pt>
                <c:pt idx="30" formatCode="General">
                  <c:v>1728</c:v>
                </c:pt>
                <c:pt idx="31" formatCode="General">
                  <c:v>2591</c:v>
                </c:pt>
                <c:pt idx="32" formatCode="General">
                  <c:v>7731</c:v>
                </c:pt>
                <c:pt idx="33" formatCode="General">
                  <c:v>7168</c:v>
                </c:pt>
                <c:pt idx="34" formatCode="General">
                  <c:v>2560</c:v>
                </c:pt>
                <c:pt idx="35" formatCode="General">
                  <c:v>1280</c:v>
                </c:pt>
                <c:pt idx="36" formatCode="General">
                  <c:v>5888</c:v>
                </c:pt>
                <c:pt idx="37">
                  <c:v>1308.96</c:v>
                </c:pt>
                <c:pt idx="38">
                  <c:v>2880.2159999999999</c:v>
                </c:pt>
                <c:pt idx="39">
                  <c:v>5223.1439999999993</c:v>
                </c:pt>
                <c:pt idx="40">
                  <c:v>5223.1440000000002</c:v>
                </c:pt>
                <c:pt idx="41" formatCode="General">
                  <c:v>5275</c:v>
                </c:pt>
                <c:pt idx="42" formatCode="General">
                  <c:v>2548.8000000000002</c:v>
                </c:pt>
                <c:pt idx="43" formatCode="General">
                  <c:v>6850</c:v>
                </c:pt>
                <c:pt idx="44" formatCode="General">
                  <c:v>6850</c:v>
                </c:pt>
                <c:pt idx="45" formatCode="General">
                  <c:v>438</c:v>
                </c:pt>
                <c:pt idx="46" formatCode="General">
                  <c:v>4150</c:v>
                </c:pt>
                <c:pt idx="47">
                  <c:v>11039.36</c:v>
                </c:pt>
                <c:pt idx="48">
                  <c:v>1693.44</c:v>
                </c:pt>
                <c:pt idx="49">
                  <c:v>4416</c:v>
                </c:pt>
                <c:pt idx="50">
                  <c:v>5888</c:v>
                </c:pt>
                <c:pt idx="51">
                  <c:v>2944</c:v>
                </c:pt>
                <c:pt idx="52">
                  <c:v>8064</c:v>
                </c:pt>
                <c:pt idx="53">
                  <c:v>27456</c:v>
                </c:pt>
                <c:pt idx="54">
                  <c:v>192192</c:v>
                </c:pt>
                <c:pt idx="55">
                  <c:v>2601.7600000000002</c:v>
                </c:pt>
                <c:pt idx="56">
                  <c:v>3490.48</c:v>
                </c:pt>
                <c:pt idx="57" formatCode="General">
                  <c:v>3360</c:v>
                </c:pt>
                <c:pt idx="58" formatCode="General">
                  <c:v>4032</c:v>
                </c:pt>
                <c:pt idx="59" formatCode="General">
                  <c:v>13440</c:v>
                </c:pt>
                <c:pt idx="60" formatCode="General">
                  <c:v>4428.8</c:v>
                </c:pt>
                <c:pt idx="61" formatCode="General">
                  <c:v>6643.2</c:v>
                </c:pt>
                <c:pt idx="62" formatCode="General">
                  <c:v>8832</c:v>
                </c:pt>
                <c:pt idx="63" formatCode="General">
                  <c:v>10304</c:v>
                </c:pt>
                <c:pt idx="64" formatCode="General">
                  <c:v>11776</c:v>
                </c:pt>
                <c:pt idx="65" formatCode="General">
                  <c:v>3891.2000000000003</c:v>
                </c:pt>
                <c:pt idx="66" formatCode="General">
                  <c:v>9728</c:v>
                </c:pt>
                <c:pt idx="67" formatCode="General">
                  <c:v>11673.6</c:v>
                </c:pt>
                <c:pt idx="68" formatCode="General">
                  <c:v>13619.199999999999</c:v>
                </c:pt>
                <c:pt idx="69" formatCode="General">
                  <c:v>6624</c:v>
                </c:pt>
                <c:pt idx="70" formatCode="General">
                  <c:v>11776</c:v>
                </c:pt>
                <c:pt idx="71" formatCode="General">
                  <c:v>12057.6</c:v>
                </c:pt>
                <c:pt idx="72" formatCode="General">
                  <c:v>4416</c:v>
                </c:pt>
                <c:pt idx="73" formatCode="General">
                  <c:v>5888</c:v>
                </c:pt>
                <c:pt idx="74" formatCode="General">
                  <c:v>11776</c:v>
                </c:pt>
                <c:pt idx="75" formatCode="General">
                  <c:v>2940</c:v>
                </c:pt>
                <c:pt idx="76" formatCode="General">
                  <c:v>35230</c:v>
                </c:pt>
                <c:pt idx="77" formatCode="General">
                  <c:v>7400</c:v>
                </c:pt>
                <c:pt idx="78" formatCode="General">
                  <c:v>11200</c:v>
                </c:pt>
                <c:pt idx="79" formatCode="General">
                  <c:v>14900</c:v>
                </c:pt>
                <c:pt idx="80" formatCode="General">
                  <c:v>6500</c:v>
                </c:pt>
                <c:pt idx="81" formatCode="General">
                  <c:v>9800</c:v>
                </c:pt>
                <c:pt idx="82" formatCode="General">
                  <c:v>13000</c:v>
                </c:pt>
                <c:pt idx="83" formatCode="General">
                  <c:v>3300</c:v>
                </c:pt>
                <c:pt idx="84" formatCode="General">
                  <c:v>6600</c:v>
                </c:pt>
                <c:pt idx="85" formatCode="General">
                  <c:v>3100</c:v>
                </c:pt>
                <c:pt idx="86" formatCode="General">
                  <c:v>3300</c:v>
                </c:pt>
                <c:pt idx="87" formatCode="General">
                  <c:v>6500</c:v>
                </c:pt>
                <c:pt idx="88" formatCode="General">
                  <c:v>19320</c:v>
                </c:pt>
                <c:pt idx="89" formatCode="General">
                  <c:v>19320</c:v>
                </c:pt>
                <c:pt idx="90">
                  <c:v>35007.840000000004</c:v>
                </c:pt>
                <c:pt idx="91">
                  <c:v>35239.68</c:v>
                </c:pt>
                <c:pt idx="92">
                  <c:v>35094.78</c:v>
                </c:pt>
                <c:pt idx="93">
                  <c:v>29173.200000000004</c:v>
                </c:pt>
                <c:pt idx="94">
                  <c:v>28632.240000000002</c:v>
                </c:pt>
                <c:pt idx="95">
                  <c:v>30081.240000000005</c:v>
                </c:pt>
                <c:pt idx="96">
                  <c:v>29720.600000000002</c:v>
                </c:pt>
              </c:numCache>
            </c:numRef>
          </c:xVal>
          <c:yVal>
            <c:numRef>
              <c:f>Modules!$AQ$3:$AQ$100</c:f>
              <c:numCache>
                <c:formatCode>0.00</c:formatCode>
                <c:ptCount val="98"/>
                <c:pt idx="0" formatCode="General">
                  <c:v>0</c:v>
                </c:pt>
                <c:pt idx="1">
                  <c:v>6.3355447500000004</c:v>
                </c:pt>
                <c:pt idx="2">
                  <c:v>14.438169251199998</c:v>
                </c:pt>
                <c:pt idx="3">
                  <c:v>14.438169251199998</c:v>
                </c:pt>
                <c:pt idx="4">
                  <c:v>29.9208</c:v>
                </c:pt>
                <c:pt idx="5">
                  <c:v>29.9208</c:v>
                </c:pt>
                <c:pt idx="6">
                  <c:v>13.01993</c:v>
                </c:pt>
                <c:pt idx="7">
                  <c:v>14.441148</c:v>
                </c:pt>
                <c:pt idx="8">
                  <c:v>14.441148</c:v>
                </c:pt>
                <c:pt idx="9">
                  <c:v>34.809600000000003</c:v>
                </c:pt>
                <c:pt idx="10">
                  <c:v>38.479999999999997</c:v>
                </c:pt>
                <c:pt idx="11">
                  <c:v>38.479999999999997</c:v>
                </c:pt>
                <c:pt idx="12">
                  <c:v>37.7104</c:v>
                </c:pt>
                <c:pt idx="13">
                  <c:v>38.479999999999997</c:v>
                </c:pt>
                <c:pt idx="14">
                  <c:v>38.479999999999997</c:v>
                </c:pt>
                <c:pt idx="15">
                  <c:v>5.8085100000000001</c:v>
                </c:pt>
                <c:pt idx="16">
                  <c:v>5.3808947499999995</c:v>
                </c:pt>
                <c:pt idx="17">
                  <c:v>14.337</c:v>
                </c:pt>
                <c:pt idx="18">
                  <c:v>11.989712520000001</c:v>
                </c:pt>
                <c:pt idx="19">
                  <c:v>9.182050799999999</c:v>
                </c:pt>
                <c:pt idx="20">
                  <c:v>13.7490264</c:v>
                </c:pt>
                <c:pt idx="21">
                  <c:v>19.299720959999998</c:v>
                </c:pt>
                <c:pt idx="22">
                  <c:v>24.139447499999999</c:v>
                </c:pt>
                <c:pt idx="23">
                  <c:v>33.905203440000008</c:v>
                </c:pt>
                <c:pt idx="24">
                  <c:v>5.9297700000000004</c:v>
                </c:pt>
                <c:pt idx="25" formatCode="General">
                  <c:v>5.7893400000000002</c:v>
                </c:pt>
                <c:pt idx="26">
                  <c:v>5.8354012500000003</c:v>
                </c:pt>
                <c:pt idx="27">
                  <c:v>14.63495</c:v>
                </c:pt>
                <c:pt idx="28">
                  <c:v>7.4815578</c:v>
                </c:pt>
                <c:pt idx="29">
                  <c:v>5.8085100000000001</c:v>
                </c:pt>
                <c:pt idx="30">
                  <c:v>5.8354012500000003</c:v>
                </c:pt>
                <c:pt idx="31">
                  <c:v>5.85466</c:v>
                </c:pt>
                <c:pt idx="32">
                  <c:v>5.85466</c:v>
                </c:pt>
                <c:pt idx="33">
                  <c:v>24.314136000000001</c:v>
                </c:pt>
                <c:pt idx="34">
                  <c:v>24.255725999999999</c:v>
                </c:pt>
                <c:pt idx="35">
                  <c:v>10.650090000000001</c:v>
                </c:pt>
                <c:pt idx="36">
                  <c:v>5.9065160000000008</c:v>
                </c:pt>
                <c:pt idx="37">
                  <c:v>18.726246</c:v>
                </c:pt>
                <c:pt idx="38">
                  <c:v>5.8264931199999994</c:v>
                </c:pt>
                <c:pt idx="39">
                  <c:v>6.3558300000000001</c:v>
                </c:pt>
                <c:pt idx="40">
                  <c:v>11.351760000000001</c:v>
                </c:pt>
                <c:pt idx="41">
                  <c:v>11.351760000000001</c:v>
                </c:pt>
                <c:pt idx="42">
                  <c:v>17.414999999999999</c:v>
                </c:pt>
                <c:pt idx="43">
                  <c:v>5.9297700000000004</c:v>
                </c:pt>
                <c:pt idx="44">
                  <c:v>14.602499999999999</c:v>
                </c:pt>
                <c:pt idx="45">
                  <c:v>14.602499999999999</c:v>
                </c:pt>
                <c:pt idx="46">
                  <c:v>2.2644000000000002</c:v>
                </c:pt>
                <c:pt idx="47">
                  <c:v>19.065000000000001</c:v>
                </c:pt>
                <c:pt idx="48">
                  <c:v>30.200424000000002</c:v>
                </c:pt>
                <c:pt idx="49" formatCode="General">
                  <c:v>6.6234000000000002</c:v>
                </c:pt>
                <c:pt idx="50" formatCode="General">
                  <c:v>13.768480800000001</c:v>
                </c:pt>
                <c:pt idx="51" formatCode="General">
                  <c:v>17.948736</c:v>
                </c:pt>
                <c:pt idx="52" formatCode="General">
                  <c:v>9.6512500540000019</c:v>
                </c:pt>
                <c:pt idx="53" formatCode="General">
                  <c:v>25.703658449999999</c:v>
                </c:pt>
                <c:pt idx="54" formatCode="General">
                  <c:v>143.63999999999999</c:v>
                </c:pt>
                <c:pt idx="55" formatCode="General">
                  <c:v>1788.75</c:v>
                </c:pt>
                <c:pt idx="56" formatCode="General">
                  <c:v>11.18030823</c:v>
                </c:pt>
                <c:pt idx="57" formatCode="General">
                  <c:v>14.173818750000001</c:v>
                </c:pt>
                <c:pt idx="58" formatCode="General">
                  <c:v>11.514576</c:v>
                </c:pt>
                <c:pt idx="59" formatCode="General">
                  <c:v>12.32704</c:v>
                </c:pt>
                <c:pt idx="60" formatCode="General">
                  <c:v>43.993872000000003</c:v>
                </c:pt>
                <c:pt idx="61" formatCode="General">
                  <c:v>14.932499999999999</c:v>
                </c:pt>
                <c:pt idx="62" formatCode="General">
                  <c:v>21.17052</c:v>
                </c:pt>
                <c:pt idx="63" formatCode="General">
                  <c:v>27.258237999999999</c:v>
                </c:pt>
                <c:pt idx="64" formatCode="General">
                  <c:v>30.18477</c:v>
                </c:pt>
                <c:pt idx="65" formatCode="General">
                  <c:v>33.794820000000001</c:v>
                </c:pt>
                <c:pt idx="66" formatCode="General">
                  <c:v>12.87726</c:v>
                </c:pt>
                <c:pt idx="67" formatCode="General">
                  <c:v>29.773786000000001</c:v>
                </c:pt>
                <c:pt idx="68" formatCode="General">
                  <c:v>33.794820000000001</c:v>
                </c:pt>
                <c:pt idx="69" formatCode="General">
                  <c:v>40.372019999999999</c:v>
                </c:pt>
                <c:pt idx="70" formatCode="General">
                  <c:v>19.345392</c:v>
                </c:pt>
                <c:pt idx="71" formatCode="General">
                  <c:v>33.794820000000001</c:v>
                </c:pt>
                <c:pt idx="72" formatCode="General">
                  <c:v>33.794820000000001</c:v>
                </c:pt>
                <c:pt idx="73" formatCode="General">
                  <c:v>25.640675999999999</c:v>
                </c:pt>
                <c:pt idx="74" formatCode="General">
                  <c:v>33.794820000000001</c:v>
                </c:pt>
                <c:pt idx="75" formatCode="General">
                  <c:v>33.794820000000001</c:v>
                </c:pt>
                <c:pt idx="76" formatCode="General">
                  <c:v>11.263662</c:v>
                </c:pt>
                <c:pt idx="77" formatCode="General">
                  <c:v>160.27199999999999</c:v>
                </c:pt>
                <c:pt idx="78" formatCode="General">
                  <c:v>30.349</c:v>
                </c:pt>
                <c:pt idx="79" formatCode="General">
                  <c:v>44.789250000000003</c:v>
                </c:pt>
                <c:pt idx="80" formatCode="General">
                  <c:v>56.879899999999999</c:v>
                </c:pt>
                <c:pt idx="81" formatCode="General">
                  <c:v>30.349</c:v>
                </c:pt>
                <c:pt idx="82" formatCode="General">
                  <c:v>44.789250000000003</c:v>
                </c:pt>
                <c:pt idx="83" formatCode="General">
                  <c:v>56.879899999999999</c:v>
                </c:pt>
                <c:pt idx="84" formatCode="General">
                  <c:v>16.838799999999999</c:v>
                </c:pt>
                <c:pt idx="85" formatCode="General">
                  <c:v>30.349</c:v>
                </c:pt>
                <c:pt idx="86" formatCode="General">
                  <c:v>24.1813</c:v>
                </c:pt>
                <c:pt idx="87" formatCode="General">
                  <c:v>16.594049999999999</c:v>
                </c:pt>
                <c:pt idx="88" formatCode="0.0">
                  <c:v>28.733650000000001</c:v>
                </c:pt>
                <c:pt idx="89" formatCode="0.0">
                  <c:v>118.89360000000001</c:v>
                </c:pt>
                <c:pt idx="90" formatCode="0.0">
                  <c:v>118.89360000000001</c:v>
                </c:pt>
                <c:pt idx="91" formatCode="0.0">
                  <c:v>160.27199999999999</c:v>
                </c:pt>
                <c:pt idx="92" formatCode="0.0">
                  <c:v>160.27199999999999</c:v>
                </c:pt>
                <c:pt idx="93" formatCode="0.0">
                  <c:v>160.27199999999999</c:v>
                </c:pt>
                <c:pt idx="94" formatCode="0.0">
                  <c:v>143.63999999999999</c:v>
                </c:pt>
                <c:pt idx="95" formatCode="0.0">
                  <c:v>143.63999999999999</c:v>
                </c:pt>
                <c:pt idx="96" formatCode="0.0">
                  <c:v>143.63999999999999</c:v>
                </c:pt>
                <c:pt idx="97" formatCode="0.0">
                  <c:v>150.94319999999999</c:v>
                </c:pt>
              </c:numCache>
            </c:numRef>
          </c:yVal>
          <c:smooth val="0"/>
          <c:extLst>
            <c:ext xmlns:c16="http://schemas.microsoft.com/office/drawing/2014/chart" uri="{C3380CC4-5D6E-409C-BE32-E72D297353CC}">
              <c16:uniqueId val="{00000001-409E-4589-AB90-7A1A9C637E9D}"/>
            </c:ext>
          </c:extLst>
        </c:ser>
        <c:dLbls>
          <c:showLegendKey val="0"/>
          <c:showVal val="0"/>
          <c:showCatName val="0"/>
          <c:showSerName val="0"/>
          <c:showPercent val="0"/>
          <c:showBubbleSize val="0"/>
        </c:dLbls>
        <c:axId val="1983807615"/>
        <c:axId val="1733151823"/>
      </c:scatterChart>
      <c:valAx>
        <c:axId val="1983807615"/>
        <c:scaling>
          <c:logBase val="10"/>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Total Energy [Wh]</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33151823"/>
        <c:crosses val="autoZero"/>
        <c:crossBetween val="midCat"/>
      </c:valAx>
      <c:valAx>
        <c:axId val="1733151823"/>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Module </a:t>
                </a:r>
                <a:r>
                  <a:rPr lang="en-GB">
                    <a:solidFill>
                      <a:schemeClr val="accent1"/>
                    </a:solidFill>
                  </a:rPr>
                  <a:t>Mass [kg]</a:t>
                </a:r>
                <a:r>
                  <a:rPr lang="en-GB"/>
                  <a:t> </a:t>
                </a:r>
                <a:r>
                  <a:rPr lang="en-GB">
                    <a:solidFill>
                      <a:schemeClr val="accent2"/>
                    </a:solidFill>
                  </a:rPr>
                  <a:t>Volume [litres]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838076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Modules!$CD$2:$CD$3</c:f>
              <c:strCache>
                <c:ptCount val="2"/>
                <c:pt idx="0">
                  <c:v>Volumetric Energy Density</c:v>
                </c:pt>
                <c:pt idx="1">
                  <c:v>Wh/litre</c:v>
                </c:pt>
              </c:strCache>
            </c:strRef>
          </c:tx>
          <c:spPr>
            <a:ln w="19050" cap="rnd">
              <a:noFill/>
              <a:round/>
            </a:ln>
            <a:effectLst/>
          </c:spPr>
          <c:marker>
            <c:symbol val="circle"/>
            <c:size val="9"/>
            <c:spPr>
              <a:solidFill>
                <a:schemeClr val="accent1">
                  <a:alpha val="34000"/>
                </a:schemeClr>
              </a:solidFill>
              <a:ln w="9525">
                <a:noFill/>
              </a:ln>
              <a:effectLst/>
            </c:spPr>
          </c:marker>
          <c:xVal>
            <c:numRef>
              <c:f>Modules!$CC$4:$CC$100</c:f>
              <c:numCache>
                <c:formatCode>0</c:formatCode>
                <c:ptCount val="97"/>
                <c:pt idx="0">
                  <c:v>240.88545454545456</c:v>
                </c:pt>
                <c:pt idx="1">
                  <c:v>222.82838709677421</c:v>
                </c:pt>
                <c:pt idx="2">
                  <c:v>222.82838709677421</c:v>
                </c:pt>
                <c:pt idx="3">
                  <c:v>189.81431192660551</c:v>
                </c:pt>
                <c:pt idx="4">
                  <c:v>189.81431192660551</c:v>
                </c:pt>
                <c:pt idx="5">
                  <c:v>127.27272727272727</c:v>
                </c:pt>
                <c:pt idx="6">
                  <c:v>117.64705882352941</c:v>
                </c:pt>
                <c:pt idx="7">
                  <c:v>117.64705882352941</c:v>
                </c:pt>
                <c:pt idx="8">
                  <c:v>144.76190476190476</c:v>
                </c:pt>
                <c:pt idx="9">
                  <c:v>143.39622641509433</c:v>
                </c:pt>
                <c:pt idx="10">
                  <c:v>112.24489795918367</c:v>
                </c:pt>
                <c:pt idx="11">
                  <c:v>144.26229508196721</c:v>
                </c:pt>
                <c:pt idx="12">
                  <c:v>144.64285714285714</c:v>
                </c:pt>
                <c:pt idx="13">
                  <c:v>116.66666666666667</c:v>
                </c:pt>
                <c:pt idx="14">
                  <c:v>209.8909090909091</c:v>
                </c:pt>
                <c:pt idx="15">
                  <c:v>197.96954314720813</c:v>
                </c:pt>
                <c:pt idx="16">
                  <c:v>234.69387755102042</c:v>
                </c:pt>
                <c:pt idx="17">
                  <c:v>128</c:v>
                </c:pt>
                <c:pt idx="18">
                  <c:v>150.58823529411765</c:v>
                </c:pt>
                <c:pt idx="19">
                  <c:v>156.27906976744185</c:v>
                </c:pt>
                <c:pt idx="20">
                  <c:v>173.64341085271317</c:v>
                </c:pt>
                <c:pt idx="21">
                  <c:v>158.75968992248062</c:v>
                </c:pt>
                <c:pt idx="22">
                  <c:v>160.47761194029852</c:v>
                </c:pt>
                <c:pt idx="23">
                  <c:v>220.83333333333334</c:v>
                </c:pt>
                <c:pt idx="24">
                  <c:v>212.86</c:v>
                </c:pt>
                <c:pt idx="25">
                  <c:v>211.40495867768595</c:v>
                </c:pt>
                <c:pt idx="26">
                  <c:v>211.46496815286625</c:v>
                </c:pt>
                <c:pt idx="27">
                  <c:v>205.51724137931035</c:v>
                </c:pt>
                <c:pt idx="28">
                  <c:v>192.60869565217391</c:v>
                </c:pt>
                <c:pt idx="29">
                  <c:v>202.14285714285717</c:v>
                </c:pt>
                <c:pt idx="30">
                  <c:v>148.9655172413793</c:v>
                </c:pt>
                <c:pt idx="31">
                  <c:v>217.73109243697479</c:v>
                </c:pt>
                <c:pt idx="32">
                  <c:v>168.06521739130434</c:v>
                </c:pt>
                <c:pt idx="33">
                  <c:v>158.93569844789357</c:v>
                </c:pt>
                <c:pt idx="34">
                  <c:v>129.68591691995948</c:v>
                </c:pt>
                <c:pt idx="35">
                  <c:v>122.60536398467434</c:v>
                </c:pt>
                <c:pt idx="36">
                  <c:v>168.22857142857143</c:v>
                </c:pt>
                <c:pt idx="37">
                  <c:v>145.44</c:v>
                </c:pt>
                <c:pt idx="38">
                  <c:v>213.34933333333333</c:v>
                </c:pt>
                <c:pt idx="39">
                  <c:v>227.09321739130431</c:v>
                </c:pt>
                <c:pt idx="40">
                  <c:v>227.09321739130436</c:v>
                </c:pt>
                <c:pt idx="41">
                  <c:v>177.01342281879195</c:v>
                </c:pt>
                <c:pt idx="42">
                  <c:v>212.4</c:v>
                </c:pt>
                <c:pt idx="43">
                  <c:v>214.0625</c:v>
                </c:pt>
                <c:pt idx="44">
                  <c:v>214.0625</c:v>
                </c:pt>
                <c:pt idx="45">
                  <c:v>120.32967032967032</c:v>
                </c:pt>
                <c:pt idx="46">
                  <c:v>148.21428571428572</c:v>
                </c:pt>
                <c:pt idx="47">
                  <c:v>245.31911111111111</c:v>
                </c:pt>
                <c:pt idx="48">
                  <c:v>169.34399999999999</c:v>
                </c:pt>
                <c:pt idx="49">
                  <c:v>165.3932584269663</c:v>
                </c:pt>
                <c:pt idx="50">
                  <c:v>168.22857142857143</c:v>
                </c:pt>
                <c:pt idx="51">
                  <c:v>160.87431693989069</c:v>
                </c:pt>
                <c:pt idx="52">
                  <c:v>161.28</c:v>
                </c:pt>
                <c:pt idx="53">
                  <c:v>135.92079207920793</c:v>
                </c:pt>
                <c:pt idx="54">
                  <c:v>124.63813229571984</c:v>
                </c:pt>
                <c:pt idx="55">
                  <c:v>132.06903553299495</c:v>
                </c:pt>
                <c:pt idx="56">
                  <c:v>138.51111111111112</c:v>
                </c:pt>
                <c:pt idx="75" formatCode="General">
                  <c:v>154</c:v>
                </c:pt>
                <c:pt idx="76" formatCode="General">
                  <c:v>160</c:v>
                </c:pt>
                <c:pt idx="77">
                  <c:v>160.86956521739131</c:v>
                </c:pt>
                <c:pt idx="78">
                  <c:v>164.70588235294119</c:v>
                </c:pt>
                <c:pt idx="79">
                  <c:v>167.41573033707866</c:v>
                </c:pt>
                <c:pt idx="80">
                  <c:v>141.30434782608697</c:v>
                </c:pt>
                <c:pt idx="81">
                  <c:v>144.11764705882354</c:v>
                </c:pt>
                <c:pt idx="82">
                  <c:v>146.06741573033707</c:v>
                </c:pt>
                <c:pt idx="83">
                  <c:v>117.85714285714286</c:v>
                </c:pt>
                <c:pt idx="84">
                  <c:v>140.42553191489361</c:v>
                </c:pt>
                <c:pt idx="85">
                  <c:v>100</c:v>
                </c:pt>
                <c:pt idx="86">
                  <c:v>137.5</c:v>
                </c:pt>
                <c:pt idx="87">
                  <c:v>147.72727272727272</c:v>
                </c:pt>
                <c:pt idx="88" formatCode="General">
                  <c:v>125</c:v>
                </c:pt>
                <c:pt idx="89" formatCode="General">
                  <c:v>125</c:v>
                </c:pt>
                <c:pt idx="90" formatCode="General">
                  <c:v>155</c:v>
                </c:pt>
                <c:pt idx="91" formatCode="General">
                  <c:v>155</c:v>
                </c:pt>
                <c:pt idx="92" formatCode="General">
                  <c:v>155</c:v>
                </c:pt>
                <c:pt idx="93" formatCode="General">
                  <c:v>155</c:v>
                </c:pt>
                <c:pt idx="94" formatCode="General">
                  <c:v>155</c:v>
                </c:pt>
                <c:pt idx="95" formatCode="General">
                  <c:v>155</c:v>
                </c:pt>
                <c:pt idx="96">
                  <c:v>136.33302752293579</c:v>
                </c:pt>
              </c:numCache>
            </c:numRef>
          </c:xVal>
          <c:yVal>
            <c:numRef>
              <c:f>Modules!$CD$4:$CD$100</c:f>
              <c:numCache>
                <c:formatCode>0</c:formatCode>
                <c:ptCount val="97"/>
                <c:pt idx="0">
                  <c:v>501.88075776751475</c:v>
                </c:pt>
                <c:pt idx="1">
                  <c:v>478.43184823629099</c:v>
                </c:pt>
                <c:pt idx="2">
                  <c:v>478.43184823629099</c:v>
                </c:pt>
                <c:pt idx="3">
                  <c:v>345.74209245742094</c:v>
                </c:pt>
                <c:pt idx="4">
                  <c:v>345.74209245742094</c:v>
                </c:pt>
                <c:pt idx="5">
                  <c:v>215.05491965010563</c:v>
                </c:pt>
                <c:pt idx="6">
                  <c:v>138.4931447278291</c:v>
                </c:pt>
                <c:pt idx="7">
                  <c:v>138.4931447278291</c:v>
                </c:pt>
                <c:pt idx="8">
                  <c:v>218.33057547343259</c:v>
                </c:pt>
                <c:pt idx="9">
                  <c:v>197.50519750519751</c:v>
                </c:pt>
                <c:pt idx="10">
                  <c:v>142.93139293139293</c:v>
                </c:pt>
                <c:pt idx="11">
                  <c:v>233.35737621451906</c:v>
                </c:pt>
                <c:pt idx="12">
                  <c:v>210.49896049896051</c:v>
                </c:pt>
                <c:pt idx="13">
                  <c:v>163.72141372141374</c:v>
                </c:pt>
                <c:pt idx="14">
                  <c:v>397.48575796546794</c:v>
                </c:pt>
                <c:pt idx="15">
                  <c:v>362.39326182694805</c:v>
                </c:pt>
                <c:pt idx="16">
                  <c:v>481.27223268466207</c:v>
                </c:pt>
                <c:pt idx="17">
                  <c:v>192.16474091073533</c:v>
                </c:pt>
                <c:pt idx="18">
                  <c:v>278.80481776467633</c:v>
                </c:pt>
                <c:pt idx="19">
                  <c:v>293.25712837383162</c:v>
                </c:pt>
                <c:pt idx="20">
                  <c:v>232.12770844123128</c:v>
                </c:pt>
                <c:pt idx="21">
                  <c:v>296.94134466002174</c:v>
                </c:pt>
                <c:pt idx="22">
                  <c:v>317.11946571938921</c:v>
                </c:pt>
                <c:pt idx="23">
                  <c:v>446.89760311108182</c:v>
                </c:pt>
                <c:pt idx="24">
                  <c:v>441.21091523386087</c:v>
                </c:pt>
                <c:pt idx="25">
                  <c:v>438.35888748867097</c:v>
                </c:pt>
                <c:pt idx="26">
                  <c:v>453.70841717942324</c:v>
                </c:pt>
                <c:pt idx="27">
                  <c:v>398.31276849856056</c:v>
                </c:pt>
                <c:pt idx="28">
                  <c:v>381.33703824216536</c:v>
                </c:pt>
                <c:pt idx="29">
                  <c:v>387.97674795713488</c:v>
                </c:pt>
                <c:pt idx="30">
                  <c:v>295.14950483888049</c:v>
                </c:pt>
                <c:pt idx="31">
                  <c:v>442.55345314672417</c:v>
                </c:pt>
                <c:pt idx="32">
                  <c:v>317.96317993779417</c:v>
                </c:pt>
                <c:pt idx="33">
                  <c:v>295.51785009444779</c:v>
                </c:pt>
                <c:pt idx="34">
                  <c:v>240.37355552863872</c:v>
                </c:pt>
                <c:pt idx="35">
                  <c:v>216.70981675153337</c:v>
                </c:pt>
                <c:pt idx="36">
                  <c:v>314.42500541753003</c:v>
                </c:pt>
                <c:pt idx="37">
                  <c:v>224.65657695653474</c:v>
                </c:pt>
                <c:pt idx="38">
                  <c:v>453.16127083323499</c:v>
                </c:pt>
                <c:pt idx="39">
                  <c:v>460.11755005391228</c:v>
                </c:pt>
                <c:pt idx="40">
                  <c:v>460.11755005391234</c:v>
                </c:pt>
                <c:pt idx="41">
                  <c:v>302.89979902383004</c:v>
                </c:pt>
                <c:pt idx="42">
                  <c:v>429.83117389038699</c:v>
                </c:pt>
                <c:pt idx="43">
                  <c:v>469.09775723335048</c:v>
                </c:pt>
                <c:pt idx="44">
                  <c:v>469.09775723335048</c:v>
                </c:pt>
                <c:pt idx="45">
                  <c:v>193.42872284048752</c:v>
                </c:pt>
                <c:pt idx="46">
                  <c:v>217.6763703120902</c:v>
                </c:pt>
                <c:pt idx="47">
                  <c:v>365.53658981741449</c:v>
                </c:pt>
                <c:pt idx="48">
                  <c:v>255.67533291058973</c:v>
                </c:pt>
                <c:pt idx="49">
                  <c:v>320.73255315139778</c:v>
                </c:pt>
                <c:pt idx="50">
                  <c:v>328.04538436578486</c:v>
                </c:pt>
                <c:pt idx="51">
                  <c:v>305.0382057793484</c:v>
                </c:pt>
                <c:pt idx="52">
                  <c:v>313.72965897778653</c:v>
                </c:pt>
                <c:pt idx="53">
                  <c:v>191.14452798663328</c:v>
                </c:pt>
                <c:pt idx="54">
                  <c:v>107.44486373165618</c:v>
                </c:pt>
                <c:pt idx="55">
                  <c:v>232.70914776917562</c:v>
                </c:pt>
                <c:pt idx="56">
                  <c:v>246.26249718340725</c:v>
                </c:pt>
                <c:pt idx="57">
                  <c:v>291.8040577438544</c:v>
                </c:pt>
                <c:pt idx="58">
                  <c:v>327.0858210892477</c:v>
                </c:pt>
                <c:pt idx="59">
                  <c:v>305.49709286784304</c:v>
                </c:pt>
                <c:pt idx="60">
                  <c:v>296.58797923991295</c:v>
                </c:pt>
                <c:pt idx="61">
                  <c:v>313.79484301755457</c:v>
                </c:pt>
                <c:pt idx="62">
                  <c:v>324.01213900913189</c:v>
                </c:pt>
                <c:pt idx="63">
                  <c:v>341.36420453096048</c:v>
                </c:pt>
                <c:pt idx="64">
                  <c:v>348.4557692569453</c:v>
                </c:pt>
                <c:pt idx="65">
                  <c:v>302.1760840427234</c:v>
                </c:pt>
                <c:pt idx="66">
                  <c:v>326.73036610124086</c:v>
                </c:pt>
                <c:pt idx="67">
                  <c:v>345.42571908949361</c:v>
                </c:pt>
                <c:pt idx="68">
                  <c:v>337.34254565414363</c:v>
                </c:pt>
                <c:pt idx="69">
                  <c:v>342.40712206813902</c:v>
                </c:pt>
                <c:pt idx="70">
                  <c:v>348.4557692569453</c:v>
                </c:pt>
                <c:pt idx="71">
                  <c:v>356.78840721743745</c:v>
                </c:pt>
                <c:pt idx="72">
                  <c:v>172.22634847848786</c:v>
                </c:pt>
                <c:pt idx="73">
                  <c:v>174.22788462847265</c:v>
                </c:pt>
                <c:pt idx="74">
                  <c:v>348.4557692569453</c:v>
                </c:pt>
                <c:pt idx="75">
                  <c:v>261.01635507173421</c:v>
                </c:pt>
                <c:pt idx="76" formatCode="0.0">
                  <c:v>219.81381651192973</c:v>
                </c:pt>
                <c:pt idx="77">
                  <c:v>243.83010972354938</c:v>
                </c:pt>
                <c:pt idx="78">
                  <c:v>250.06000323738397</c:v>
                </c:pt>
                <c:pt idx="79">
                  <c:v>261.95545350818128</c:v>
                </c:pt>
                <c:pt idx="80">
                  <c:v>214.17509637879337</c:v>
                </c:pt>
                <c:pt idx="81">
                  <c:v>218.80250283271096</c:v>
                </c:pt>
                <c:pt idx="82">
                  <c:v>228.55173796015816</c:v>
                </c:pt>
                <c:pt idx="83">
                  <c:v>195.97596028220539</c:v>
                </c:pt>
                <c:pt idx="84">
                  <c:v>217.47009786154405</c:v>
                </c:pt>
                <c:pt idx="85">
                  <c:v>128.19823582685794</c:v>
                </c:pt>
                <c:pt idx="86">
                  <c:v>198.86646117132346</c:v>
                </c:pt>
                <c:pt idx="87">
                  <c:v>226.21560435238823</c:v>
                </c:pt>
                <c:pt idx="88">
                  <c:v>162.49823371485093</c:v>
                </c:pt>
                <c:pt idx="89">
                  <c:v>162.49823371485093</c:v>
                </c:pt>
                <c:pt idx="90">
                  <c:v>218.42767295597488</c:v>
                </c:pt>
                <c:pt idx="91">
                  <c:v>219.87421383647799</c:v>
                </c:pt>
                <c:pt idx="92">
                  <c:v>218.97012578616352</c:v>
                </c:pt>
                <c:pt idx="93">
                  <c:v>203.09941520467842</c:v>
                </c:pt>
                <c:pt idx="94">
                  <c:v>199.33333333333337</c:v>
                </c:pt>
                <c:pt idx="95">
                  <c:v>209.42105263157902</c:v>
                </c:pt>
                <c:pt idx="96">
                  <c:v>196.89923096900029</c:v>
                </c:pt>
              </c:numCache>
            </c:numRef>
          </c:yVal>
          <c:smooth val="0"/>
          <c:extLst>
            <c:ext xmlns:c16="http://schemas.microsoft.com/office/drawing/2014/chart" uri="{C3380CC4-5D6E-409C-BE32-E72D297353CC}">
              <c16:uniqueId val="{00000000-8776-41D7-83E3-AE602D755AFD}"/>
            </c:ext>
          </c:extLst>
        </c:ser>
        <c:dLbls>
          <c:showLegendKey val="0"/>
          <c:showVal val="0"/>
          <c:showCatName val="0"/>
          <c:showSerName val="0"/>
          <c:showPercent val="0"/>
          <c:showBubbleSize val="0"/>
        </c:dLbls>
        <c:axId val="176171071"/>
        <c:axId val="176169151"/>
      </c:scatterChart>
      <c:valAx>
        <c:axId val="176171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Gravimetric Energy Density [Wh/kg]</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6169151"/>
        <c:crosses val="autoZero"/>
        <c:crossBetween val="midCat"/>
      </c:valAx>
      <c:valAx>
        <c:axId val="176169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GB"/>
                  <a:t>Volumetric Energy Density [Wh/litre]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61710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Modules!$AS$2:$AS$3</c:f>
              <c:strCache>
                <c:ptCount val="2"/>
                <c:pt idx="0">
                  <c:v>Cell to Module Ratio</c:v>
                </c:pt>
                <c:pt idx="1">
                  <c:v>%</c:v>
                </c:pt>
              </c:strCache>
            </c:strRef>
          </c:tx>
          <c:spPr>
            <a:ln w="19050" cap="rnd">
              <a:noFill/>
              <a:round/>
            </a:ln>
            <a:effectLst/>
          </c:spPr>
          <c:marker>
            <c:symbol val="circle"/>
            <c:size val="8"/>
            <c:spPr>
              <a:solidFill>
                <a:schemeClr val="accent1">
                  <a:alpha val="29000"/>
                </a:schemeClr>
              </a:solidFill>
              <a:ln w="9525">
                <a:noFill/>
              </a:ln>
              <a:effectLst/>
            </c:spPr>
          </c:marker>
          <c:xVal>
            <c:numRef>
              <c:f>Modules!$AM$4:$AM$100</c:f>
              <c:numCache>
                <c:formatCode>General</c:formatCode>
                <c:ptCount val="97"/>
                <c:pt idx="8" formatCode="0.0%">
                  <c:v>0.8422857142857143</c:v>
                </c:pt>
                <c:pt idx="9" formatCode="0.0%">
                  <c:v>0.8343396226415094</c:v>
                </c:pt>
                <c:pt idx="13" formatCode="0.0%">
                  <c:v>0.85148148148148139</c:v>
                </c:pt>
                <c:pt idx="14" formatCode="0.0%">
                  <c:v>0.79199999999999993</c:v>
                </c:pt>
                <c:pt idx="15" formatCode="0.0%">
                  <c:v>0.8263959390862945</c:v>
                </c:pt>
                <c:pt idx="23" formatCode="0.0%">
                  <c:v>0.89699999999999991</c:v>
                </c:pt>
                <c:pt idx="30" formatCode="0.0%">
                  <c:v>0.90689655172413797</c:v>
                </c:pt>
                <c:pt idx="31" formatCode="0.0%">
                  <c:v>0.90756302521008403</c:v>
                </c:pt>
                <c:pt idx="32" formatCode="0.0%">
                  <c:v>0.93913043478260871</c:v>
                </c:pt>
                <c:pt idx="33" formatCode="0.0%">
                  <c:v>0.93481152993348104</c:v>
                </c:pt>
                <c:pt idx="34" formatCode="0.0%">
                  <c:v>0.86322188449848025</c:v>
                </c:pt>
                <c:pt idx="35" formatCode="0.0%">
                  <c:v>0.90421455938697315</c:v>
                </c:pt>
                <c:pt idx="36" formatCode="0.0%">
                  <c:v>0.93485714285714283</c:v>
                </c:pt>
                <c:pt idx="38" formatCode="0.0%">
                  <c:v>0.8</c:v>
                </c:pt>
                <c:pt idx="41" formatCode="0.0%">
                  <c:v>0.89718120805369139</c:v>
                </c:pt>
                <c:pt idx="42" formatCode="0.0%">
                  <c:v>0.82</c:v>
                </c:pt>
                <c:pt idx="43" formatCode="0.0%">
                  <c:v>0.81224999999999992</c:v>
                </c:pt>
                <c:pt idx="44" formatCode="0.0%">
                  <c:v>0.81224999999999992</c:v>
                </c:pt>
                <c:pt idx="46" formatCode="0.0%">
                  <c:v>0.86142857142857132</c:v>
                </c:pt>
                <c:pt idx="49" formatCode="0.0%">
                  <c:v>0.94382022471910121</c:v>
                </c:pt>
                <c:pt idx="50" formatCode="0.0%">
                  <c:v>0.96000000000000008</c:v>
                </c:pt>
                <c:pt idx="51" formatCode="0.0%">
                  <c:v>0.91803278688524592</c:v>
                </c:pt>
                <c:pt idx="52" formatCode="0.0%">
                  <c:v>0.97560000000000002</c:v>
                </c:pt>
                <c:pt idx="53" formatCode="0.0%">
                  <c:v>0.81089108910891095</c:v>
                </c:pt>
                <c:pt idx="54" formatCode="0.0%">
                  <c:v>0.74357976653696511</c:v>
                </c:pt>
                <c:pt idx="75" formatCode="0.0%">
                  <c:v>0.86323809523809525</c:v>
                </c:pt>
                <c:pt idx="76" formatCode="0.0%">
                  <c:v>0.89814362759012201</c:v>
                </c:pt>
              </c:numCache>
            </c:numRef>
          </c:xVal>
          <c:yVal>
            <c:numRef>
              <c:f>Modules!$AS$4:$AS$100</c:f>
              <c:numCache>
                <c:formatCode>General</c:formatCode>
                <c:ptCount val="97"/>
                <c:pt idx="8" formatCode="0%">
                  <c:v>0.61501570555896501</c:v>
                </c:pt>
                <c:pt idx="9" formatCode="0%">
                  <c:v>0.55635266902872538</c:v>
                </c:pt>
                <c:pt idx="13" formatCode="0%">
                  <c:v>0.55498784312343641</c:v>
                </c:pt>
                <c:pt idx="23" formatCode="0%">
                  <c:v>0.68965679492450904</c:v>
                </c:pt>
                <c:pt idx="30" formatCode="0%">
                  <c:v>0.82907164280584411</c:v>
                </c:pt>
                <c:pt idx="31" formatCode="0%">
                  <c:v>0.8135173771079488</c:v>
                </c:pt>
                <c:pt idx="32" formatCode="0%">
                  <c:v>0.83674521036261629</c:v>
                </c:pt>
                <c:pt idx="33" formatCode="0%">
                  <c:v>0.8231694988703282</c:v>
                </c:pt>
                <c:pt idx="34" formatCode="0%">
                  <c:v>0.73961094008811912</c:v>
                </c:pt>
                <c:pt idx="35" formatCode="0%">
                  <c:v>0.76575906979340413</c:v>
                </c:pt>
                <c:pt idx="36" formatCode="0%">
                  <c:v>0.8166883257598182</c:v>
                </c:pt>
                <c:pt idx="38" formatCode="0%">
                  <c:v>0.78537481946834486</c:v>
                </c:pt>
                <c:pt idx="41" formatCode="0%">
                  <c:v>0.65704945558314543</c:v>
                </c:pt>
                <c:pt idx="43" formatCode="0%">
                  <c:v>0.77665191594925576</c:v>
                </c:pt>
                <c:pt idx="44" formatCode="0%">
                  <c:v>0.77665191594925576</c:v>
                </c:pt>
                <c:pt idx="46" formatCode="0%">
                  <c:v>0.61317287411856392</c:v>
                </c:pt>
                <c:pt idx="49" formatCode="0%">
                  <c:v>0.83307156662700721</c:v>
                </c:pt>
                <c:pt idx="50" formatCode="0%">
                  <c:v>0.85206593341762304</c:v>
                </c:pt>
                <c:pt idx="51" formatCode="0%">
                  <c:v>0.79230702799830754</c:v>
                </c:pt>
                <c:pt idx="52" formatCode="0%">
                  <c:v>0.89127744027780265</c:v>
                </c:pt>
                <c:pt idx="53" formatCode="0%">
                  <c:v>0.49647929347177472</c:v>
                </c:pt>
                <c:pt idx="54" formatCode="0%">
                  <c:v>0.27907756813417189</c:v>
                </c:pt>
                <c:pt idx="75" formatCode="0%">
                  <c:v>0.67973009133264117</c:v>
                </c:pt>
                <c:pt idx="76" formatCode="0%">
                  <c:v>0.57243181383315034</c:v>
                </c:pt>
              </c:numCache>
            </c:numRef>
          </c:yVal>
          <c:smooth val="0"/>
          <c:extLst>
            <c:ext xmlns:c16="http://schemas.microsoft.com/office/drawing/2014/chart" uri="{C3380CC4-5D6E-409C-BE32-E72D297353CC}">
              <c16:uniqueId val="{00000000-2864-45C3-97F7-D5094736C9A8}"/>
            </c:ext>
          </c:extLst>
        </c:ser>
        <c:dLbls>
          <c:showLegendKey val="0"/>
          <c:showVal val="0"/>
          <c:showCatName val="0"/>
          <c:showSerName val="0"/>
          <c:showPercent val="0"/>
          <c:showBubbleSize val="0"/>
        </c:dLbls>
        <c:axId val="1728421247"/>
        <c:axId val="1711853103"/>
      </c:scatterChart>
      <c:valAx>
        <c:axId val="1728421247"/>
        <c:scaling>
          <c:orientation val="minMax"/>
          <c:max val="1"/>
          <c:min val="0.8"/>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Cell to Module Mass Ratio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53103"/>
        <c:crosses val="autoZero"/>
        <c:crossBetween val="midCat"/>
      </c:valAx>
      <c:valAx>
        <c:axId val="1711853103"/>
        <c:scaling>
          <c:orientation val="minMax"/>
          <c:max val="1"/>
          <c:min val="0.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Cell</a:t>
                </a:r>
                <a:r>
                  <a:rPr lang="en-GB" baseline="0"/>
                  <a:t> to Module Volume Ratio</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421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17</xdr:row>
      <xdr:rowOff>0</xdr:rowOff>
    </xdr:from>
    <xdr:to>
      <xdr:col>6</xdr:col>
      <xdr:colOff>304800</xdr:colOff>
      <xdr:row>18</xdr:row>
      <xdr:rowOff>120650</xdr:rowOff>
    </xdr:to>
    <xdr:sp macro="" textlink="">
      <xdr:nvSpPr>
        <xdr:cNvPr id="43009" name="AutoShape 1" descr="Previewing Image attachment">
          <a:extLst>
            <a:ext uri="{FF2B5EF4-FFF2-40B4-BE49-F238E27FC236}">
              <a16:creationId xmlns:a16="http://schemas.microsoft.com/office/drawing/2014/main" id="{D24849B1-44A0-2554-1698-0F36F7B9F489}"/>
            </a:ext>
          </a:extLst>
        </xdr:cNvPr>
        <xdr:cNvSpPr>
          <a:spLocks noChangeAspect="1" noChangeArrowheads="1"/>
        </xdr:cNvSpPr>
      </xdr:nvSpPr>
      <xdr:spPr bwMode="auto">
        <a:xfrm>
          <a:off x="4267200" y="313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17</xdr:row>
      <xdr:rowOff>0</xdr:rowOff>
    </xdr:from>
    <xdr:to>
      <xdr:col>6</xdr:col>
      <xdr:colOff>304800</xdr:colOff>
      <xdr:row>18</xdr:row>
      <xdr:rowOff>120650</xdr:rowOff>
    </xdr:to>
    <xdr:sp macro="" textlink="">
      <xdr:nvSpPr>
        <xdr:cNvPr id="43011" name="AutoShape 3" descr="Previewing Image attachment">
          <a:extLst>
            <a:ext uri="{FF2B5EF4-FFF2-40B4-BE49-F238E27FC236}">
              <a16:creationId xmlns:a16="http://schemas.microsoft.com/office/drawing/2014/main" id="{4BAA5800-7F52-14BF-6A6E-54475BD39258}"/>
            </a:ext>
          </a:extLst>
        </xdr:cNvPr>
        <xdr:cNvSpPr>
          <a:spLocks noChangeAspect="1" noChangeArrowheads="1"/>
        </xdr:cNvSpPr>
      </xdr:nvSpPr>
      <xdr:spPr bwMode="auto">
        <a:xfrm>
          <a:off x="4267200" y="313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13</xdr:col>
      <xdr:colOff>127000</xdr:colOff>
      <xdr:row>7</xdr:row>
      <xdr:rowOff>158750</xdr:rowOff>
    </xdr:from>
    <xdr:ext cx="3333750" cy="971549"/>
    <xdr:grpSp>
      <xdr:nvGrpSpPr>
        <xdr:cNvPr id="2" name="Shape 2">
          <a:extLst>
            <a:ext uri="{FF2B5EF4-FFF2-40B4-BE49-F238E27FC236}">
              <a16:creationId xmlns:a16="http://schemas.microsoft.com/office/drawing/2014/main" id="{AC61A181-A9D2-45E6-BCE5-3578C665D90B}"/>
            </a:ext>
          </a:extLst>
        </xdr:cNvPr>
        <xdr:cNvGrpSpPr/>
      </xdr:nvGrpSpPr>
      <xdr:grpSpPr>
        <a:xfrm>
          <a:off x="11137900" y="2425700"/>
          <a:ext cx="3333750" cy="971549"/>
          <a:chOff x="4017263" y="3294222"/>
          <a:chExt cx="2657475" cy="971549"/>
        </a:xfrm>
      </xdr:grpSpPr>
      <xdr:grpSp>
        <xdr:nvGrpSpPr>
          <xdr:cNvPr id="3" name="Shape 3">
            <a:extLst>
              <a:ext uri="{FF2B5EF4-FFF2-40B4-BE49-F238E27FC236}">
                <a16:creationId xmlns:a16="http://schemas.microsoft.com/office/drawing/2014/main" id="{08039871-F3B3-8FB2-C92E-4C98540093B0}"/>
              </a:ext>
            </a:extLst>
          </xdr:cNvPr>
          <xdr:cNvGrpSpPr/>
        </xdr:nvGrpSpPr>
        <xdr:grpSpPr>
          <a:xfrm>
            <a:off x="4017263" y="3294222"/>
            <a:ext cx="2657475" cy="971549"/>
            <a:chOff x="6362700" y="3257550"/>
            <a:chExt cx="2662743" cy="923925"/>
          </a:xfrm>
        </xdr:grpSpPr>
        <xdr:sp macro="" textlink="">
          <xdr:nvSpPr>
            <xdr:cNvPr id="4" name="Shape 4">
              <a:extLst>
                <a:ext uri="{FF2B5EF4-FFF2-40B4-BE49-F238E27FC236}">
                  <a16:creationId xmlns:a16="http://schemas.microsoft.com/office/drawing/2014/main" id="{35C39599-2F2E-AF89-1DCC-40C491CFF875}"/>
                </a:ext>
              </a:extLst>
            </xdr:cNvPr>
            <xdr:cNvSpPr/>
          </xdr:nvSpPr>
          <xdr:spPr>
            <a:xfrm>
              <a:off x="6362700" y="3257550"/>
              <a:ext cx="2662725" cy="9239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27C66A28-C7DF-748A-690A-C5E8A0C990DE}"/>
                </a:ext>
              </a:extLst>
            </xdr:cNvPr>
            <xdr:cNvSpPr/>
          </xdr:nvSpPr>
          <xdr:spPr>
            <a:xfrm>
              <a:off x="6362700" y="3257550"/>
              <a:ext cx="2647950" cy="923925"/>
            </a:xfrm>
            <a:prstGeom prst="rect">
              <a:avLst/>
            </a:prstGeom>
            <a:solidFill>
              <a:schemeClr val="lt1"/>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6" name="Shape 6">
              <a:extLst>
                <a:ext uri="{FF2B5EF4-FFF2-40B4-BE49-F238E27FC236}">
                  <a16:creationId xmlns:a16="http://schemas.microsoft.com/office/drawing/2014/main" id="{78044F3B-4941-E8A4-F5DB-100CB1FE6C74}"/>
                </a:ext>
              </a:extLst>
            </xdr:cNvPr>
            <xdr:cNvSpPr/>
          </xdr:nvSpPr>
          <xdr:spPr>
            <a:xfrm>
              <a:off x="6448425" y="3343275"/>
              <a:ext cx="342900" cy="190500"/>
            </a:xfrm>
            <a:prstGeom prst="rect">
              <a:avLst/>
            </a:prstGeom>
            <a:solidFill>
              <a:srgbClr val="92D05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7" name="Shape 7">
              <a:extLst>
                <a:ext uri="{FF2B5EF4-FFF2-40B4-BE49-F238E27FC236}">
                  <a16:creationId xmlns:a16="http://schemas.microsoft.com/office/drawing/2014/main" id="{7E7187C6-0C5F-00D6-4560-8B125D144BD5}"/>
                </a:ext>
              </a:extLst>
            </xdr:cNvPr>
            <xdr:cNvSpPr/>
          </xdr:nvSpPr>
          <xdr:spPr>
            <a:xfrm>
              <a:off x="6448425" y="3600450"/>
              <a:ext cx="342900" cy="190500"/>
            </a:xfrm>
            <a:prstGeom prst="rect">
              <a:avLst/>
            </a:prstGeom>
            <a:solidFill>
              <a:srgbClr val="FFC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7F0A7A30-1F97-2123-C8E4-FFECA881D6C8}"/>
                </a:ext>
              </a:extLst>
            </xdr:cNvPr>
            <xdr:cNvSpPr/>
          </xdr:nvSpPr>
          <xdr:spPr>
            <a:xfrm>
              <a:off x="6448425" y="3867150"/>
              <a:ext cx="342900" cy="190500"/>
            </a:xfrm>
            <a:prstGeom prst="rect">
              <a:avLst/>
            </a:prstGeom>
            <a:solidFill>
              <a:srgbClr val="FF0000"/>
            </a:solidFill>
            <a:ln w="12700" cap="flat" cmpd="sng">
              <a:solidFill>
                <a:srgbClr val="517E33"/>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9" name="Shape 9">
              <a:extLst>
                <a:ext uri="{FF2B5EF4-FFF2-40B4-BE49-F238E27FC236}">
                  <a16:creationId xmlns:a16="http://schemas.microsoft.com/office/drawing/2014/main" id="{D571B398-D96D-AB09-11D5-D72EFF2F85EE}"/>
                </a:ext>
              </a:extLst>
            </xdr:cNvPr>
            <xdr:cNvSpPr txBox="1"/>
          </xdr:nvSpPr>
          <xdr:spPr>
            <a:xfrm>
              <a:off x="6743700" y="3314700"/>
              <a:ext cx="1952907" cy="264560"/>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from Manufacturers datasheet</a:t>
              </a:r>
              <a:endParaRPr sz="1100"/>
            </a:p>
          </xdr:txBody>
        </xdr:sp>
        <xdr:sp macro="" textlink="">
          <xdr:nvSpPr>
            <xdr:cNvPr id="10" name="Shape 10">
              <a:extLst>
                <a:ext uri="{FF2B5EF4-FFF2-40B4-BE49-F238E27FC236}">
                  <a16:creationId xmlns:a16="http://schemas.microsoft.com/office/drawing/2014/main" id="{A47FCA03-C6E1-05FD-3A52-28C8751CB822}"/>
                </a:ext>
              </a:extLst>
            </xdr:cNvPr>
            <xdr:cNvSpPr txBox="1"/>
          </xdr:nvSpPr>
          <xdr:spPr>
            <a:xfrm>
              <a:off x="6734175" y="3562350"/>
              <a:ext cx="2291268" cy="415337"/>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Calculated using Manufacturers data / verified</a:t>
              </a:r>
              <a:endParaRPr sz="1100"/>
            </a:p>
          </xdr:txBody>
        </xdr:sp>
        <xdr:sp macro="" textlink="">
          <xdr:nvSpPr>
            <xdr:cNvPr id="11" name="Shape 11">
              <a:extLst>
                <a:ext uri="{FF2B5EF4-FFF2-40B4-BE49-F238E27FC236}">
                  <a16:creationId xmlns:a16="http://schemas.microsoft.com/office/drawing/2014/main" id="{48AF593A-55C6-084A-09A3-B4A04AAB63BB}"/>
                </a:ext>
              </a:extLst>
            </xdr:cNvPr>
            <xdr:cNvSpPr txBox="1"/>
          </xdr:nvSpPr>
          <xdr:spPr>
            <a:xfrm>
              <a:off x="6734174" y="3819525"/>
              <a:ext cx="2157654" cy="25155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Estimated or 3rd Party data</a:t>
              </a:r>
              <a:endParaRPr sz="1400"/>
            </a:p>
          </xdr:txBody>
        </xdr:sp>
      </xdr:grpSp>
    </xdr:grpSp>
    <xdr:clientData fLocksWithSheet="0"/>
  </xdr:oneCellAnchor>
  <xdr:twoCellAnchor>
    <xdr:from>
      <xdr:col>23</xdr:col>
      <xdr:colOff>146049</xdr:colOff>
      <xdr:row>126</xdr:row>
      <xdr:rowOff>107950</xdr:rowOff>
    </xdr:from>
    <xdr:to>
      <xdr:col>35</xdr:col>
      <xdr:colOff>281516</xdr:colOff>
      <xdr:row>152</xdr:row>
      <xdr:rowOff>82550</xdr:rowOff>
    </xdr:to>
    <xdr:graphicFrame macro="">
      <xdr:nvGraphicFramePr>
        <xdr:cNvPr id="12" name="Chart 11">
          <a:extLst>
            <a:ext uri="{FF2B5EF4-FFF2-40B4-BE49-F238E27FC236}">
              <a16:creationId xmlns:a16="http://schemas.microsoft.com/office/drawing/2014/main" id="{3B49050B-F0A4-1A95-CC31-923F8EC675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152400</xdr:colOff>
      <xdr:row>118</xdr:row>
      <xdr:rowOff>114300</xdr:rowOff>
    </xdr:from>
    <xdr:to>
      <xdr:col>20</xdr:col>
      <xdr:colOff>190500</xdr:colOff>
      <xdr:row>143</xdr:row>
      <xdr:rowOff>28575</xdr:rowOff>
    </xdr:to>
    <xdr:graphicFrame macro="">
      <xdr:nvGraphicFramePr>
        <xdr:cNvPr id="13" name="Chart 12">
          <a:extLst>
            <a:ext uri="{FF2B5EF4-FFF2-40B4-BE49-F238E27FC236}">
              <a16:creationId xmlns:a16="http://schemas.microsoft.com/office/drawing/2014/main" id="{FB4FC89C-9CA7-34B4-64D4-3E4EB275E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43</xdr:col>
      <xdr:colOff>552450</xdr:colOff>
      <xdr:row>22</xdr:row>
      <xdr:rowOff>6350</xdr:rowOff>
    </xdr:from>
    <xdr:to>
      <xdr:col>50</xdr:col>
      <xdr:colOff>146050</xdr:colOff>
      <xdr:row>42</xdr:row>
      <xdr:rowOff>98425</xdr:rowOff>
    </xdr:to>
    <xdr:graphicFrame macro="">
      <xdr:nvGraphicFramePr>
        <xdr:cNvPr id="14" name="Chart 13">
          <a:extLst>
            <a:ext uri="{FF2B5EF4-FFF2-40B4-BE49-F238E27FC236}">
              <a16:creationId xmlns:a16="http://schemas.microsoft.com/office/drawing/2014/main" id="{A02CFC30-14ED-5F32-5426-A065B74B00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gel Taylor" id="{F3D6AE8B-87D1-4C61-87E6-40440101E1CB}" userId="3a1dae2a7d213139"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N3" dT="2024-11-28T15:11:52.52" personId="{F3D6AE8B-87D1-4C61-87E6-40440101E1CB}" id="{0AB74DE5-E6CE-4A55-819A-47B9716438B5}">
    <text>This is the reference number of the cell in the BatteryDesign.net cell database</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batterydesign.net/download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54EB-EEAF-4FF7-8114-FA91E71938B1}">
  <sheetPr codeName="Sheet39"/>
  <dimension ref="A2:B66"/>
  <sheetViews>
    <sheetView topLeftCell="A22" workbookViewId="0">
      <selection activeCell="B68" sqref="B68"/>
    </sheetView>
  </sheetViews>
  <sheetFormatPr defaultColWidth="8.81640625" defaultRowHeight="14.5"/>
  <cols>
    <col min="2" max="2" width="117.453125" customWidth="1"/>
  </cols>
  <sheetData>
    <row r="2" spans="1:2">
      <c r="B2" s="17" t="s">
        <v>78</v>
      </c>
    </row>
    <row r="3" spans="1:2">
      <c r="B3" s="17" t="s">
        <v>79</v>
      </c>
    </row>
    <row r="4" spans="1:2" ht="23.5">
      <c r="B4" s="57" t="s">
        <v>80</v>
      </c>
    </row>
    <row r="6" spans="1:2">
      <c r="B6" s="17" t="s">
        <v>81</v>
      </c>
    </row>
    <row r="9" spans="1:2" ht="87">
      <c r="B9" s="56" t="s">
        <v>159</v>
      </c>
    </row>
    <row r="12" spans="1:2">
      <c r="A12" s="22" t="s">
        <v>95</v>
      </c>
      <c r="B12" s="23" t="s">
        <v>96</v>
      </c>
    </row>
    <row r="13" spans="1:2">
      <c r="A13" s="130">
        <v>1.004</v>
      </c>
      <c r="B13" s="24" t="s">
        <v>97</v>
      </c>
    </row>
    <row r="14" spans="1:2">
      <c r="A14" s="130">
        <v>1.008</v>
      </c>
      <c r="B14" s="24" t="s">
        <v>98</v>
      </c>
    </row>
    <row r="15" spans="1:2">
      <c r="A15" s="20">
        <v>1.0129999999999999</v>
      </c>
      <c r="B15" s="25" t="s">
        <v>99</v>
      </c>
    </row>
    <row r="16" spans="1:2">
      <c r="A16" s="20">
        <v>1.014</v>
      </c>
      <c r="B16" s="26" t="s">
        <v>100</v>
      </c>
    </row>
    <row r="17" spans="1:2">
      <c r="A17" s="20">
        <v>1.0149999999999999</v>
      </c>
      <c r="B17" s="27" t="s">
        <v>101</v>
      </c>
    </row>
    <row r="18" spans="1:2">
      <c r="A18" s="20">
        <v>1.016</v>
      </c>
      <c r="B18" s="28" t="s">
        <v>103</v>
      </c>
    </row>
    <row r="19" spans="1:2">
      <c r="A19" s="20">
        <v>1.0169999999999999</v>
      </c>
      <c r="B19" s="29" t="s">
        <v>105</v>
      </c>
    </row>
    <row r="20" spans="1:2">
      <c r="A20" s="20">
        <v>1.018</v>
      </c>
      <c r="B20" s="30" t="s">
        <v>106</v>
      </c>
    </row>
    <row r="21" spans="1:2">
      <c r="A21" s="20">
        <v>1.0189999999999999</v>
      </c>
      <c r="B21" s="32" t="s">
        <v>111</v>
      </c>
    </row>
    <row r="22" spans="1:2">
      <c r="A22" s="20">
        <v>1.02</v>
      </c>
      <c r="B22" s="33" t="s">
        <v>112</v>
      </c>
    </row>
    <row r="23" spans="1:2">
      <c r="A23" s="20">
        <v>1.022</v>
      </c>
      <c r="B23" s="34" t="s">
        <v>114</v>
      </c>
    </row>
    <row r="24" spans="1:2">
      <c r="A24" s="20">
        <v>1.024</v>
      </c>
      <c r="B24" s="35" t="s">
        <v>115</v>
      </c>
    </row>
    <row r="25" spans="1:2">
      <c r="A25" s="20">
        <v>1.0249999999999999</v>
      </c>
      <c r="B25" s="36" t="s">
        <v>116</v>
      </c>
    </row>
    <row r="26" spans="1:2">
      <c r="A26" s="20">
        <v>1.026</v>
      </c>
      <c r="B26" s="37" t="s">
        <v>118</v>
      </c>
    </row>
    <row r="27" spans="1:2">
      <c r="A27" s="20">
        <v>1.0269999999999999</v>
      </c>
      <c r="B27" s="39" t="s">
        <v>122</v>
      </c>
    </row>
    <row r="28" spans="1:2">
      <c r="A28" s="20">
        <v>1.028</v>
      </c>
      <c r="B28" s="40" t="s">
        <v>123</v>
      </c>
    </row>
    <row r="29" spans="1:2">
      <c r="A29" s="20">
        <v>1.0289999999999999</v>
      </c>
      <c r="B29" s="41" t="s">
        <v>124</v>
      </c>
    </row>
    <row r="30" spans="1:2">
      <c r="A30" s="20">
        <v>1.03</v>
      </c>
      <c r="B30" s="42" t="s">
        <v>125</v>
      </c>
    </row>
    <row r="31" spans="1:2">
      <c r="A31" s="20">
        <v>1.0309999999999999</v>
      </c>
      <c r="B31" s="43" t="s">
        <v>126</v>
      </c>
    </row>
    <row r="32" spans="1:2">
      <c r="A32" s="20">
        <v>1.034</v>
      </c>
      <c r="B32" s="44" t="s">
        <v>127</v>
      </c>
    </row>
    <row r="33" spans="1:2">
      <c r="A33" s="20">
        <v>1.0369999999999999</v>
      </c>
      <c r="B33" s="45" t="s">
        <v>128</v>
      </c>
    </row>
    <row r="34" spans="1:2">
      <c r="A34" s="20">
        <v>1.0389999999999999</v>
      </c>
      <c r="B34" s="46" t="s">
        <v>131</v>
      </c>
    </row>
    <row r="35" spans="1:2">
      <c r="A35" s="20">
        <v>1.04</v>
      </c>
      <c r="B35" s="47" t="s">
        <v>134</v>
      </c>
    </row>
    <row r="36" spans="1:2">
      <c r="A36" s="20">
        <v>1.0409999999999999</v>
      </c>
      <c r="B36" s="49" t="s">
        <v>135</v>
      </c>
    </row>
    <row r="37" spans="1:2">
      <c r="A37" s="20">
        <v>1.05</v>
      </c>
      <c r="B37" s="53" t="s">
        <v>151</v>
      </c>
    </row>
    <row r="38" spans="1:2">
      <c r="A38" s="20">
        <v>1.052</v>
      </c>
      <c r="B38" s="54" t="s">
        <v>156</v>
      </c>
    </row>
    <row r="39" spans="1:2">
      <c r="A39" s="20">
        <v>1.056</v>
      </c>
      <c r="B39" s="55" t="s">
        <v>158</v>
      </c>
    </row>
    <row r="40" spans="1:2">
      <c r="A40" s="20">
        <v>1.0580000000000001</v>
      </c>
      <c r="B40" s="58" t="s">
        <v>160</v>
      </c>
    </row>
    <row r="41" spans="1:2">
      <c r="A41" s="20">
        <v>1.0620000000000001</v>
      </c>
      <c r="B41" s="59" t="s">
        <v>161</v>
      </c>
    </row>
    <row r="42" spans="1:2">
      <c r="A42" s="20">
        <v>1.0640000000000001</v>
      </c>
      <c r="B42" s="60" t="s">
        <v>162</v>
      </c>
    </row>
    <row r="43" spans="1:2">
      <c r="A43" s="20">
        <v>1.0669999999999999</v>
      </c>
      <c r="B43" s="61" t="s">
        <v>163</v>
      </c>
    </row>
    <row r="44" spans="1:2">
      <c r="A44" s="20">
        <v>1.0680000000000001</v>
      </c>
      <c r="B44" s="62" t="s">
        <v>164</v>
      </c>
    </row>
    <row r="45" spans="1:2">
      <c r="A45" s="20">
        <v>1.069</v>
      </c>
      <c r="B45" s="63" t="s">
        <v>166</v>
      </c>
    </row>
    <row r="46" spans="1:2">
      <c r="A46" s="20">
        <v>1.1000000000000001</v>
      </c>
      <c r="B46" s="64" t="s">
        <v>167</v>
      </c>
    </row>
    <row r="47" spans="1:2">
      <c r="A47" s="20">
        <v>1.101</v>
      </c>
      <c r="B47" s="65" t="s">
        <v>168</v>
      </c>
    </row>
    <row r="48" spans="1:2">
      <c r="A48" s="20">
        <v>1.1020000000000001</v>
      </c>
      <c r="B48" s="66" t="s">
        <v>169</v>
      </c>
    </row>
    <row r="49" spans="1:2">
      <c r="A49" s="20">
        <v>1.1040000000000001</v>
      </c>
      <c r="B49" s="94" t="s">
        <v>261</v>
      </c>
    </row>
    <row r="50" spans="1:2">
      <c r="A50" s="20">
        <v>1.105</v>
      </c>
      <c r="B50" s="101" t="s">
        <v>262</v>
      </c>
    </row>
    <row r="51" spans="1:2">
      <c r="A51" s="20">
        <v>1.1060000000000001</v>
      </c>
      <c r="B51" s="112" t="s">
        <v>300</v>
      </c>
    </row>
    <row r="52" spans="1:2">
      <c r="A52" s="20">
        <v>1.107</v>
      </c>
      <c r="B52" s="114" t="s">
        <v>309</v>
      </c>
    </row>
    <row r="53" spans="1:2">
      <c r="A53" s="20">
        <v>1.1080000000000001</v>
      </c>
      <c r="B53" s="120" t="s">
        <v>330</v>
      </c>
    </row>
    <row r="54" spans="1:2">
      <c r="A54" s="20">
        <v>1.1100000000000001</v>
      </c>
      <c r="B54" s="121" t="s">
        <v>331</v>
      </c>
    </row>
    <row r="55" spans="1:2">
      <c r="A55" s="20">
        <v>1.1120000000000001</v>
      </c>
      <c r="B55" s="125" t="s">
        <v>349</v>
      </c>
    </row>
    <row r="56" spans="1:2">
      <c r="A56" s="20">
        <v>1.113</v>
      </c>
      <c r="B56" s="126" t="s">
        <v>350</v>
      </c>
    </row>
    <row r="57" spans="1:2">
      <c r="A57" s="20">
        <v>1.1140000000000001</v>
      </c>
      <c r="B57" s="127" t="s">
        <v>351</v>
      </c>
    </row>
    <row r="58" spans="1:2">
      <c r="A58" s="20">
        <v>1.115</v>
      </c>
      <c r="B58" s="132" t="s">
        <v>375</v>
      </c>
    </row>
    <row r="59" spans="1:2">
      <c r="A59" s="20">
        <v>1.1160000000000001</v>
      </c>
      <c r="B59" s="135" t="s">
        <v>396</v>
      </c>
    </row>
    <row r="60" spans="1:2">
      <c r="A60" s="20">
        <v>1.117</v>
      </c>
      <c r="B60" s="143" t="s">
        <v>426</v>
      </c>
    </row>
    <row r="61" spans="1:2">
      <c r="A61" s="20">
        <v>1.1180000000000001</v>
      </c>
      <c r="B61" s="144" t="s">
        <v>427</v>
      </c>
    </row>
    <row r="62" spans="1:2">
      <c r="A62" s="20">
        <v>1.2</v>
      </c>
      <c r="B62" s="145" t="s">
        <v>428</v>
      </c>
    </row>
    <row r="63" spans="1:2">
      <c r="A63" s="20" t="s">
        <v>431</v>
      </c>
      <c r="B63" s="146" t="s">
        <v>429</v>
      </c>
    </row>
    <row r="64" spans="1:2">
      <c r="A64" s="3" t="s">
        <v>430</v>
      </c>
      <c r="B64" s="147" t="s">
        <v>432</v>
      </c>
    </row>
    <row r="65" spans="1:2">
      <c r="A65" s="3" t="s">
        <v>433</v>
      </c>
      <c r="B65" s="148" t="s">
        <v>434</v>
      </c>
    </row>
    <row r="66" spans="1:2">
      <c r="A66" s="20" t="s">
        <v>435</v>
      </c>
      <c r="B66" s="149" t="s">
        <v>436</v>
      </c>
    </row>
  </sheetData>
  <hyperlinks>
    <hyperlink ref="B4" r:id="rId1" xr:uid="{D5AF73BA-F2D4-4D23-B3EC-B65EDAB47FB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C6B05-2D2D-49FA-84CF-EB7C82898129}">
  <sheetPr codeName="Sheet3"/>
  <dimension ref="A2:CS118"/>
  <sheetViews>
    <sheetView tabSelected="1" workbookViewId="0">
      <pane xSplit="9" ySplit="3" topLeftCell="AP91" activePane="bottomRight" state="frozen"/>
      <selection pane="topRight" activeCell="I1" sqref="I1"/>
      <selection pane="bottomLeft" activeCell="A4" sqref="A4"/>
      <selection pane="bottomRight" activeCell="C125" sqref="C125"/>
    </sheetView>
  </sheetViews>
  <sheetFormatPr defaultColWidth="8.81640625" defaultRowHeight="14.5"/>
  <cols>
    <col min="2" max="2" width="9.1796875" customWidth="1"/>
    <col min="3" max="3" width="18.6328125" customWidth="1"/>
    <col min="4" max="4" width="25.36328125" customWidth="1"/>
    <col min="5" max="5" width="23.453125" style="3" customWidth="1"/>
    <col min="6" max="6" width="10.453125" style="3" customWidth="1"/>
    <col min="7" max="11" width="8.81640625" style="3"/>
    <col min="20" max="46" width="8.81640625" style="3"/>
    <col min="47" max="47" width="11" customWidth="1"/>
    <col min="48" max="49" width="10.1796875" customWidth="1"/>
    <col min="50" max="50" width="13.453125" customWidth="1"/>
    <col min="51" max="58" width="8.1796875" style="3" customWidth="1"/>
    <col min="60" max="61" width="8.81640625" style="3"/>
    <col min="62" max="62" width="12.36328125" customWidth="1"/>
    <col min="63" max="63" width="8.81640625" style="3"/>
    <col min="66" max="75" width="8.81640625" style="3"/>
    <col min="78" max="80" width="8.81640625" style="3"/>
    <col min="81" max="81" width="13.6328125" style="3" customWidth="1"/>
    <col min="82" max="82" width="12.36328125" style="3" customWidth="1"/>
    <col min="83" max="83" width="8.81640625" style="3"/>
    <col min="86" max="86" width="8.81640625" style="3"/>
    <col min="88" max="97" width="8.81640625" style="3"/>
  </cols>
  <sheetData>
    <row r="2" spans="1:97" ht="58" customHeight="1">
      <c r="A2" s="11"/>
      <c r="B2" s="88" t="s">
        <v>136</v>
      </c>
      <c r="C2" s="50" t="s">
        <v>0</v>
      </c>
      <c r="D2" s="50" t="s">
        <v>171</v>
      </c>
      <c r="E2" s="89" t="s">
        <v>233</v>
      </c>
      <c r="F2" s="73" t="s">
        <v>24</v>
      </c>
      <c r="G2" s="152" t="s">
        <v>25</v>
      </c>
      <c r="H2" s="153"/>
      <c r="I2" s="154"/>
      <c r="J2" s="183" t="s">
        <v>1</v>
      </c>
      <c r="K2" s="184"/>
      <c r="L2" s="151" t="s">
        <v>117</v>
      </c>
      <c r="M2" s="151"/>
      <c r="N2" s="170" t="s">
        <v>205</v>
      </c>
      <c r="O2" s="171"/>
      <c r="P2" s="185" t="s">
        <v>211</v>
      </c>
      <c r="Q2" s="186"/>
      <c r="R2" s="170" t="s">
        <v>206</v>
      </c>
      <c r="S2" s="171"/>
      <c r="T2" s="172" t="s">
        <v>2</v>
      </c>
      <c r="U2" s="173"/>
      <c r="V2" s="173"/>
      <c r="W2" s="173"/>
      <c r="X2" s="173"/>
      <c r="Y2" s="173"/>
      <c r="Z2" s="173"/>
      <c r="AA2" s="173"/>
      <c r="AB2" s="170" t="s">
        <v>43</v>
      </c>
      <c r="AC2" s="182"/>
      <c r="AD2" s="182"/>
      <c r="AE2" s="182"/>
      <c r="AF2" s="180" t="s">
        <v>190</v>
      </c>
      <c r="AG2" s="180"/>
      <c r="AH2" s="180"/>
      <c r="AI2" s="181"/>
      <c r="AJ2" s="1" t="s">
        <v>172</v>
      </c>
      <c r="AK2" s="1" t="s">
        <v>3</v>
      </c>
      <c r="AL2" s="1" t="s">
        <v>173</v>
      </c>
      <c r="AM2" s="1" t="s">
        <v>176</v>
      </c>
      <c r="AN2" s="155" t="s">
        <v>174</v>
      </c>
      <c r="AO2" s="168"/>
      <c r="AP2" s="169"/>
      <c r="AQ2" s="1" t="s">
        <v>175</v>
      </c>
      <c r="AR2" s="14" t="s">
        <v>129</v>
      </c>
      <c r="AS2" s="14" t="s">
        <v>176</v>
      </c>
      <c r="AT2" s="14" t="s">
        <v>173</v>
      </c>
      <c r="AU2" s="15" t="s">
        <v>177</v>
      </c>
      <c r="AV2" s="14" t="s">
        <v>74</v>
      </c>
      <c r="AW2" s="75" t="s">
        <v>4</v>
      </c>
      <c r="AX2" s="76"/>
      <c r="AY2" s="174" t="s">
        <v>255</v>
      </c>
      <c r="AZ2" s="174"/>
      <c r="BA2" s="175" t="s">
        <v>256</v>
      </c>
      <c r="BB2" s="175"/>
      <c r="BC2" s="178" t="s">
        <v>212</v>
      </c>
      <c r="BD2" s="179"/>
      <c r="BE2" s="176" t="s">
        <v>213</v>
      </c>
      <c r="BF2" s="177"/>
      <c r="BG2" s="162" t="s">
        <v>155</v>
      </c>
      <c r="BH2" s="163"/>
      <c r="BI2" s="163"/>
      <c r="BJ2" s="163"/>
      <c r="BK2" s="164"/>
      <c r="BL2" s="157" t="s">
        <v>38</v>
      </c>
      <c r="BM2" s="158"/>
      <c r="BN2" s="158"/>
      <c r="BO2" s="158"/>
      <c r="BP2" s="158"/>
      <c r="BQ2" s="158"/>
      <c r="BR2" s="158"/>
      <c r="BS2" s="158"/>
      <c r="BT2" s="158"/>
      <c r="BU2" s="158"/>
      <c r="BV2" s="158"/>
      <c r="BW2" s="158"/>
      <c r="BX2" s="158"/>
      <c r="BY2" s="159"/>
      <c r="BZ2" s="165" t="s">
        <v>184</v>
      </c>
      <c r="CA2" s="166"/>
      <c r="CB2" s="167"/>
      <c r="CC2" s="1" t="s">
        <v>5</v>
      </c>
      <c r="CD2" s="2" t="s">
        <v>6</v>
      </c>
      <c r="CE2" s="162" t="s">
        <v>7</v>
      </c>
      <c r="CF2" s="163"/>
      <c r="CG2" s="164"/>
      <c r="CH2" s="155" t="s">
        <v>8</v>
      </c>
      <c r="CI2" s="156"/>
      <c r="CJ2" s="160" t="s">
        <v>238</v>
      </c>
      <c r="CK2" s="161"/>
      <c r="CL2" s="161"/>
      <c r="CM2" s="161"/>
      <c r="CN2" s="161"/>
      <c r="CO2" s="161"/>
      <c r="CP2" s="161"/>
      <c r="CQ2" s="161"/>
      <c r="CR2" s="161"/>
      <c r="CS2" s="161"/>
    </row>
    <row r="3" spans="1:97" ht="48">
      <c r="A3" s="7"/>
      <c r="B3" s="110" t="s">
        <v>130</v>
      </c>
      <c r="C3" s="52"/>
      <c r="D3" s="88" t="s">
        <v>461</v>
      </c>
      <c r="E3" s="51"/>
      <c r="F3" s="13" t="s">
        <v>82</v>
      </c>
      <c r="G3" s="12" t="s">
        <v>28</v>
      </c>
      <c r="H3" s="12" t="s">
        <v>29</v>
      </c>
      <c r="I3" s="12" t="s">
        <v>30</v>
      </c>
      <c r="J3" s="6" t="s">
        <v>31</v>
      </c>
      <c r="K3" s="6" t="s">
        <v>195</v>
      </c>
      <c r="L3" s="38" t="s">
        <v>28</v>
      </c>
      <c r="M3" s="38" t="s">
        <v>30</v>
      </c>
      <c r="N3" s="31" t="s">
        <v>107</v>
      </c>
      <c r="O3" s="31" t="s">
        <v>108</v>
      </c>
      <c r="P3" s="72" t="s">
        <v>210</v>
      </c>
      <c r="Q3" s="72" t="s">
        <v>209</v>
      </c>
      <c r="R3" s="8" t="s">
        <v>208</v>
      </c>
      <c r="S3" s="10" t="s">
        <v>207</v>
      </c>
      <c r="T3" s="9" t="s">
        <v>119</v>
      </c>
      <c r="U3" s="9" t="s">
        <v>120</v>
      </c>
      <c r="V3" s="9" t="s">
        <v>9</v>
      </c>
      <c r="W3" s="9" t="s">
        <v>10</v>
      </c>
      <c r="X3" s="9" t="s">
        <v>325</v>
      </c>
      <c r="Y3" s="9" t="s">
        <v>326</v>
      </c>
      <c r="Z3" s="9" t="s">
        <v>11</v>
      </c>
      <c r="AA3" s="9" t="s">
        <v>12</v>
      </c>
      <c r="AB3" s="8" t="s">
        <v>186</v>
      </c>
      <c r="AC3" s="8" t="s">
        <v>187</v>
      </c>
      <c r="AD3" s="8" t="s">
        <v>188</v>
      </c>
      <c r="AE3" s="8" t="s">
        <v>189</v>
      </c>
      <c r="AF3" s="71" t="s">
        <v>191</v>
      </c>
      <c r="AG3" s="71" t="s">
        <v>192</v>
      </c>
      <c r="AH3" s="71" t="s">
        <v>193</v>
      </c>
      <c r="AI3" s="71" t="s">
        <v>194</v>
      </c>
      <c r="AJ3" s="9" t="s">
        <v>13</v>
      </c>
      <c r="AK3" s="9" t="s">
        <v>13</v>
      </c>
      <c r="AL3" s="9" t="s">
        <v>13</v>
      </c>
      <c r="AM3" s="9" t="s">
        <v>14</v>
      </c>
      <c r="AN3" s="8" t="s">
        <v>15</v>
      </c>
      <c r="AO3" s="8" t="s">
        <v>16</v>
      </c>
      <c r="AP3" s="8" t="s">
        <v>17</v>
      </c>
      <c r="AQ3" s="9" t="s">
        <v>18</v>
      </c>
      <c r="AR3" s="9" t="s">
        <v>18</v>
      </c>
      <c r="AS3" s="9" t="s">
        <v>14</v>
      </c>
      <c r="AT3" s="9" t="s">
        <v>18</v>
      </c>
      <c r="AU3" s="16"/>
      <c r="AV3" s="9"/>
      <c r="AW3" s="8" t="s">
        <v>178</v>
      </c>
      <c r="AX3" s="8" t="s">
        <v>45</v>
      </c>
      <c r="AY3" s="71" t="s">
        <v>33</v>
      </c>
      <c r="AZ3" s="79" t="s">
        <v>32</v>
      </c>
      <c r="BA3" s="72" t="s">
        <v>33</v>
      </c>
      <c r="BB3" s="93" t="s">
        <v>32</v>
      </c>
      <c r="BC3" s="77" t="s">
        <v>33</v>
      </c>
      <c r="BD3" s="78" t="s">
        <v>32</v>
      </c>
      <c r="BE3" s="71" t="s">
        <v>33</v>
      </c>
      <c r="BF3" s="79" t="s">
        <v>32</v>
      </c>
      <c r="BG3" s="9" t="s">
        <v>179</v>
      </c>
      <c r="BH3" s="9" t="s">
        <v>180</v>
      </c>
      <c r="BI3" s="9" t="s">
        <v>181</v>
      </c>
      <c r="BJ3" s="9" t="s">
        <v>182</v>
      </c>
      <c r="BK3" s="70" t="s">
        <v>183</v>
      </c>
      <c r="BL3" s="16" t="s">
        <v>46</v>
      </c>
      <c r="BM3" s="16" t="s">
        <v>47</v>
      </c>
      <c r="BN3" s="16" t="s">
        <v>152</v>
      </c>
      <c r="BO3" s="16" t="s">
        <v>27</v>
      </c>
      <c r="BP3" s="16" t="s">
        <v>26</v>
      </c>
      <c r="BQ3" s="16" t="s">
        <v>71</v>
      </c>
      <c r="BR3" s="16" t="s">
        <v>48</v>
      </c>
      <c r="BS3" s="16" t="s">
        <v>42</v>
      </c>
      <c r="BT3" s="16" t="s">
        <v>65</v>
      </c>
      <c r="BU3" s="16" t="s">
        <v>66</v>
      </c>
      <c r="BV3" s="16" t="s">
        <v>19</v>
      </c>
      <c r="BW3" s="16" t="s">
        <v>20</v>
      </c>
      <c r="BX3" s="16" t="s">
        <v>109</v>
      </c>
      <c r="BY3" s="16" t="s">
        <v>110</v>
      </c>
      <c r="BZ3" s="18" t="s">
        <v>36</v>
      </c>
      <c r="CA3" s="18" t="s">
        <v>37</v>
      </c>
      <c r="CB3" s="21" t="s">
        <v>84</v>
      </c>
      <c r="CC3" s="9" t="s">
        <v>19</v>
      </c>
      <c r="CD3" s="8" t="s">
        <v>20</v>
      </c>
      <c r="CE3" s="9" t="s">
        <v>21</v>
      </c>
      <c r="CF3" s="9" t="s">
        <v>72</v>
      </c>
      <c r="CG3" s="9" t="s">
        <v>73</v>
      </c>
      <c r="CH3" s="8" t="s">
        <v>22</v>
      </c>
      <c r="CI3" s="8" t="s">
        <v>23</v>
      </c>
      <c r="CJ3" s="84" t="s">
        <v>86</v>
      </c>
      <c r="CK3" s="84" t="s">
        <v>87</v>
      </c>
      <c r="CL3" s="84" t="s">
        <v>88</v>
      </c>
      <c r="CM3" s="84" t="s">
        <v>89</v>
      </c>
      <c r="CN3" s="84" t="s">
        <v>90</v>
      </c>
      <c r="CO3" s="84" t="s">
        <v>91</v>
      </c>
      <c r="CP3" s="84" t="s">
        <v>92</v>
      </c>
      <c r="CQ3" s="84" t="s">
        <v>93</v>
      </c>
      <c r="CR3" s="84" t="s">
        <v>94</v>
      </c>
      <c r="CS3" s="84" t="s">
        <v>239</v>
      </c>
    </row>
    <row r="4" spans="1:97">
      <c r="A4" s="5">
        <v>35</v>
      </c>
      <c r="B4" t="s">
        <v>170</v>
      </c>
      <c r="C4" t="s">
        <v>102</v>
      </c>
      <c r="D4" s="67" t="s">
        <v>185</v>
      </c>
      <c r="E4" s="106" t="s">
        <v>283</v>
      </c>
      <c r="F4" s="67">
        <v>144.4</v>
      </c>
      <c r="G4" s="67">
        <v>25.2</v>
      </c>
      <c r="H4" s="67">
        <v>22.02</v>
      </c>
      <c r="I4" s="67">
        <v>16.8</v>
      </c>
      <c r="J4" s="80">
        <v>3179.6880000000001</v>
      </c>
      <c r="K4" s="67">
        <v>3170</v>
      </c>
      <c r="V4" s="67">
        <v>20.8</v>
      </c>
      <c r="AB4" s="67">
        <v>13.8</v>
      </c>
      <c r="AF4" s="67">
        <v>21</v>
      </c>
      <c r="AG4" s="67">
        <v>6</v>
      </c>
      <c r="AH4" s="67">
        <v>79.599999999999994</v>
      </c>
      <c r="AI4" s="67">
        <v>25</v>
      </c>
      <c r="AJ4" s="67">
        <v>13.2</v>
      </c>
      <c r="AN4" s="67">
        <v>390.3</v>
      </c>
      <c r="AO4" s="67">
        <v>151</v>
      </c>
      <c r="AP4" s="67">
        <v>107.5</v>
      </c>
      <c r="AQ4" s="81">
        <v>6.3355447500000004</v>
      </c>
      <c r="AX4" t="s">
        <v>198</v>
      </c>
      <c r="BC4" s="3">
        <v>60</v>
      </c>
      <c r="BD4" s="3">
        <v>-30</v>
      </c>
      <c r="BE4" s="3">
        <v>60</v>
      </c>
      <c r="BF4" s="3">
        <v>-30</v>
      </c>
      <c r="BL4" t="s">
        <v>102</v>
      </c>
      <c r="BO4" s="19" t="s">
        <v>70</v>
      </c>
      <c r="BP4" s="3" t="s">
        <v>41</v>
      </c>
      <c r="BZ4" s="67">
        <v>6</v>
      </c>
      <c r="CA4" s="67">
        <v>2</v>
      </c>
      <c r="CB4" s="69">
        <v>12</v>
      </c>
      <c r="CC4" s="80">
        <v>240.88545454545456</v>
      </c>
      <c r="CD4" s="80">
        <v>501.88075776751475</v>
      </c>
      <c r="CE4" s="80">
        <v>1575.7575757575758</v>
      </c>
      <c r="CH4" s="80">
        <v>3283.0641753418281</v>
      </c>
    </row>
    <row r="5" spans="1:97">
      <c r="A5" s="5">
        <v>35</v>
      </c>
      <c r="B5" t="s">
        <v>196</v>
      </c>
      <c r="C5" t="s">
        <v>102</v>
      </c>
      <c r="D5" s="67" t="s">
        <v>197</v>
      </c>
      <c r="E5" s="106" t="s">
        <v>283</v>
      </c>
      <c r="F5" s="67">
        <v>156</v>
      </c>
      <c r="G5" s="67">
        <v>50.4</v>
      </c>
      <c r="H5" s="67">
        <v>44.28</v>
      </c>
      <c r="I5" s="67">
        <v>36</v>
      </c>
      <c r="J5" s="80">
        <v>6907.68</v>
      </c>
      <c r="K5" s="67">
        <v>6910</v>
      </c>
      <c r="V5" s="67">
        <v>40.1</v>
      </c>
      <c r="AB5" s="67">
        <v>18.100000000000001</v>
      </c>
      <c r="AF5" s="67">
        <v>30</v>
      </c>
      <c r="AG5" s="67">
        <v>8</v>
      </c>
      <c r="AH5" s="67">
        <v>80</v>
      </c>
      <c r="AI5" s="67">
        <v>25</v>
      </c>
      <c r="AJ5" s="67">
        <v>31</v>
      </c>
      <c r="AN5" s="67">
        <v>589</v>
      </c>
      <c r="AO5" s="67">
        <v>225.76</v>
      </c>
      <c r="AP5" s="67">
        <v>108.58</v>
      </c>
      <c r="AQ5" s="81">
        <v>14.438169251199998</v>
      </c>
      <c r="AX5" t="s">
        <v>198</v>
      </c>
      <c r="BC5" s="3">
        <v>60</v>
      </c>
      <c r="BD5" s="3">
        <v>-30</v>
      </c>
      <c r="BE5" s="3">
        <v>60</v>
      </c>
      <c r="BF5" s="3">
        <v>-30</v>
      </c>
      <c r="BL5" t="s">
        <v>102</v>
      </c>
      <c r="BO5" s="19" t="s">
        <v>70</v>
      </c>
      <c r="BP5" s="3" t="s">
        <v>41</v>
      </c>
      <c r="BZ5" s="67">
        <v>12</v>
      </c>
      <c r="CA5" s="67">
        <v>2</v>
      </c>
      <c r="CB5" s="69">
        <v>24</v>
      </c>
      <c r="CC5" s="80">
        <v>222.82838709677421</v>
      </c>
      <c r="CD5" s="80">
        <v>478.43184823629099</v>
      </c>
      <c r="CE5" s="80">
        <v>1293.5483870967741</v>
      </c>
      <c r="CH5" s="80">
        <v>2777.360432775587</v>
      </c>
    </row>
    <row r="6" spans="1:97">
      <c r="A6" s="5">
        <v>35</v>
      </c>
      <c r="B6" t="s">
        <v>199</v>
      </c>
      <c r="C6" t="s">
        <v>102</v>
      </c>
      <c r="D6" s="67" t="s">
        <v>202</v>
      </c>
      <c r="E6" s="106" t="s">
        <v>283</v>
      </c>
      <c r="F6" s="67">
        <v>234</v>
      </c>
      <c r="G6" s="67">
        <v>33.6</v>
      </c>
      <c r="H6" s="67">
        <v>29.52</v>
      </c>
      <c r="I6" s="67">
        <v>24</v>
      </c>
      <c r="J6" s="80">
        <v>6907.68</v>
      </c>
      <c r="K6" s="67">
        <v>6910</v>
      </c>
      <c r="V6" s="67">
        <v>40.1</v>
      </c>
      <c r="AB6" s="67">
        <v>18.100000000000001</v>
      </c>
      <c r="AF6" s="67">
        <v>30</v>
      </c>
      <c r="AG6" s="67">
        <v>8</v>
      </c>
      <c r="AH6" s="67">
        <v>80</v>
      </c>
      <c r="AI6" s="67">
        <v>25</v>
      </c>
      <c r="AJ6" s="67">
        <v>31</v>
      </c>
      <c r="AN6" s="67">
        <v>589</v>
      </c>
      <c r="AO6" s="67">
        <v>225.76</v>
      </c>
      <c r="AP6" s="67">
        <v>108.58</v>
      </c>
      <c r="AQ6" s="81">
        <v>14.438169251199998</v>
      </c>
      <c r="AX6" t="s">
        <v>198</v>
      </c>
      <c r="BC6" s="3">
        <v>60</v>
      </c>
      <c r="BD6" s="3">
        <v>-30</v>
      </c>
      <c r="BE6" s="3">
        <v>60</v>
      </c>
      <c r="BF6" s="3">
        <v>-30</v>
      </c>
      <c r="BL6" t="s">
        <v>102</v>
      </c>
      <c r="BO6" s="19" t="s">
        <v>70</v>
      </c>
      <c r="BP6" s="3" t="s">
        <v>41</v>
      </c>
      <c r="BZ6" s="67">
        <v>8</v>
      </c>
      <c r="CA6" s="67">
        <v>3</v>
      </c>
      <c r="CB6" s="69">
        <v>24</v>
      </c>
      <c r="CC6" s="80">
        <v>222.82838709677421</v>
      </c>
      <c r="CD6" s="80">
        <v>478.43184823629099</v>
      </c>
      <c r="CE6" s="80">
        <v>1293.5483870967741</v>
      </c>
      <c r="CH6" s="80">
        <v>2777.360432775587</v>
      </c>
    </row>
    <row r="7" spans="1:97">
      <c r="A7" s="5">
        <v>24</v>
      </c>
      <c r="B7" t="s">
        <v>200</v>
      </c>
      <c r="C7" t="s">
        <v>102</v>
      </c>
      <c r="D7" s="67" t="s">
        <v>203</v>
      </c>
      <c r="F7" s="67">
        <v>203</v>
      </c>
      <c r="G7" s="67">
        <v>57.5</v>
      </c>
      <c r="H7" s="67">
        <v>50.96</v>
      </c>
      <c r="I7" s="67">
        <v>41.5</v>
      </c>
      <c r="J7" s="80">
        <v>10344.880000000001</v>
      </c>
      <c r="K7" s="67">
        <v>10360</v>
      </c>
      <c r="AJ7" s="67">
        <v>54.5</v>
      </c>
      <c r="AN7" s="67">
        <v>548</v>
      </c>
      <c r="AO7" s="67">
        <v>600</v>
      </c>
      <c r="AP7" s="67">
        <v>91</v>
      </c>
      <c r="AQ7" s="81">
        <v>29.9208</v>
      </c>
      <c r="BC7" s="3">
        <v>60</v>
      </c>
      <c r="BD7" s="3">
        <v>-20</v>
      </c>
      <c r="BE7" s="3">
        <v>60</v>
      </c>
      <c r="BF7" s="3">
        <v>-20</v>
      </c>
      <c r="BL7" t="s">
        <v>102</v>
      </c>
      <c r="BO7" s="19" t="s">
        <v>70</v>
      </c>
      <c r="BZ7" s="67">
        <v>14</v>
      </c>
      <c r="CA7" s="67">
        <v>40</v>
      </c>
      <c r="CB7" s="69">
        <v>560</v>
      </c>
      <c r="CC7" s="80">
        <v>189.81431192660551</v>
      </c>
      <c r="CD7" s="80">
        <v>345.74209245742094</v>
      </c>
    </row>
    <row r="8" spans="1:97">
      <c r="A8" s="5">
        <v>24</v>
      </c>
      <c r="B8" t="s">
        <v>201</v>
      </c>
      <c r="C8" t="s">
        <v>102</v>
      </c>
      <c r="D8" s="67" t="s">
        <v>204</v>
      </c>
      <c r="F8" s="67">
        <v>101.5</v>
      </c>
      <c r="G8" s="67">
        <v>115</v>
      </c>
      <c r="H8" s="67">
        <v>101.92</v>
      </c>
      <c r="I8" s="67">
        <v>83</v>
      </c>
      <c r="J8" s="80">
        <v>10344.880000000001</v>
      </c>
      <c r="K8" s="67">
        <v>10360</v>
      </c>
      <c r="AJ8" s="67">
        <v>54.5</v>
      </c>
      <c r="AN8" s="67">
        <v>548</v>
      </c>
      <c r="AO8" s="67">
        <v>600</v>
      </c>
      <c r="AP8" s="67">
        <v>91</v>
      </c>
      <c r="AQ8" s="81">
        <v>29.9208</v>
      </c>
      <c r="BC8" s="3">
        <v>60</v>
      </c>
      <c r="BD8" s="3">
        <v>-20</v>
      </c>
      <c r="BE8" s="3">
        <v>60</v>
      </c>
      <c r="BF8" s="3">
        <v>-20</v>
      </c>
      <c r="BL8" t="s">
        <v>102</v>
      </c>
      <c r="BO8" s="19" t="s">
        <v>70</v>
      </c>
      <c r="BZ8" s="67">
        <v>28</v>
      </c>
      <c r="CA8" s="67">
        <v>20</v>
      </c>
      <c r="CB8" s="69">
        <v>560</v>
      </c>
      <c r="CC8" s="80">
        <v>189.81431192660551</v>
      </c>
      <c r="CD8" s="80">
        <v>345.74209245742094</v>
      </c>
    </row>
    <row r="9" spans="1:97">
      <c r="A9" s="5">
        <v>15</v>
      </c>
      <c r="B9" t="s">
        <v>215</v>
      </c>
      <c r="C9" s="74" t="s">
        <v>214</v>
      </c>
      <c r="D9" s="91" t="s">
        <v>221</v>
      </c>
      <c r="E9" s="90" t="s">
        <v>234</v>
      </c>
      <c r="G9" s="67">
        <v>33.200000000000003</v>
      </c>
      <c r="I9" s="67">
        <v>25.6</v>
      </c>
      <c r="J9" s="67">
        <v>2800</v>
      </c>
      <c r="AJ9" s="67">
        <v>22</v>
      </c>
      <c r="AN9" s="67">
        <v>457</v>
      </c>
      <c r="AO9" s="67">
        <v>185</v>
      </c>
      <c r="AP9" s="67">
        <v>154</v>
      </c>
      <c r="AQ9" s="81">
        <v>13.01993</v>
      </c>
      <c r="BL9" s="74" t="s">
        <v>214</v>
      </c>
      <c r="BO9" s="19"/>
      <c r="BP9" s="82" t="s">
        <v>35</v>
      </c>
      <c r="CC9" s="80">
        <v>127.27272727272727</v>
      </c>
      <c r="CD9" s="80">
        <v>215.05491965010563</v>
      </c>
    </row>
    <row r="10" spans="1:97">
      <c r="A10" s="5">
        <v>15</v>
      </c>
      <c r="B10" t="s">
        <v>216</v>
      </c>
      <c r="C10" s="74" t="s">
        <v>214</v>
      </c>
      <c r="D10" s="91" t="s">
        <v>222</v>
      </c>
      <c r="E10" s="90" t="s">
        <v>234</v>
      </c>
      <c r="G10" s="67">
        <v>32.799999999999997</v>
      </c>
      <c r="I10" s="67">
        <v>24</v>
      </c>
      <c r="J10" s="67">
        <v>2000</v>
      </c>
      <c r="AJ10" s="67">
        <v>17</v>
      </c>
      <c r="AN10" s="67">
        <v>214</v>
      </c>
      <c r="AO10" s="67">
        <v>414</v>
      </c>
      <c r="AP10" s="67">
        <v>163</v>
      </c>
      <c r="AQ10" s="81">
        <v>14.441148</v>
      </c>
      <c r="BL10" s="74" t="s">
        <v>214</v>
      </c>
      <c r="BO10" s="19"/>
      <c r="BP10" s="82" t="s">
        <v>35</v>
      </c>
      <c r="CC10" s="80">
        <v>117.64705882352941</v>
      </c>
      <c r="CD10" s="80">
        <v>138.4931447278291</v>
      </c>
    </row>
    <row r="11" spans="1:97">
      <c r="A11" s="5">
        <v>15</v>
      </c>
      <c r="B11" t="s">
        <v>217</v>
      </c>
      <c r="C11" s="74" t="s">
        <v>214</v>
      </c>
      <c r="D11" s="91" t="s">
        <v>223</v>
      </c>
      <c r="E11" s="90" t="s">
        <v>234</v>
      </c>
      <c r="G11" s="67">
        <v>33.6</v>
      </c>
      <c r="I11" s="67">
        <v>24</v>
      </c>
      <c r="J11" s="67">
        <v>2000</v>
      </c>
      <c r="AJ11" s="67">
        <v>17</v>
      </c>
      <c r="AN11" s="67">
        <v>214</v>
      </c>
      <c r="AO11" s="67">
        <v>414</v>
      </c>
      <c r="AP11" s="67">
        <v>163</v>
      </c>
      <c r="AQ11" s="81">
        <v>14.441148</v>
      </c>
      <c r="BL11" s="74" t="s">
        <v>214</v>
      </c>
      <c r="BO11" s="19"/>
      <c r="BP11" s="82" t="s">
        <v>35</v>
      </c>
      <c r="CC11" s="80">
        <v>117.64705882352941</v>
      </c>
      <c r="CD11" s="80">
        <v>138.4931447278291</v>
      </c>
    </row>
    <row r="12" spans="1:97">
      <c r="A12" s="5">
        <v>44</v>
      </c>
      <c r="B12" t="s">
        <v>218</v>
      </c>
      <c r="C12" s="74" t="s">
        <v>214</v>
      </c>
      <c r="D12" s="91" t="s">
        <v>224</v>
      </c>
      <c r="E12" s="90" t="s">
        <v>234</v>
      </c>
      <c r="F12" s="67">
        <v>94</v>
      </c>
      <c r="G12" s="67">
        <v>91.3</v>
      </c>
      <c r="H12" s="69">
        <v>80.960000000000008</v>
      </c>
      <c r="I12" s="67">
        <v>70.400000000000006</v>
      </c>
      <c r="J12" s="67">
        <v>7600</v>
      </c>
      <c r="AJ12" s="67">
        <v>52.5</v>
      </c>
      <c r="AK12" s="69">
        <v>44.22</v>
      </c>
      <c r="AL12" s="69">
        <v>8.2800000000000011</v>
      </c>
      <c r="AM12" s="85">
        <v>0.8422857142857143</v>
      </c>
      <c r="AN12" s="67">
        <v>370</v>
      </c>
      <c r="AO12" s="67">
        <v>588</v>
      </c>
      <c r="AP12" s="67">
        <v>160</v>
      </c>
      <c r="AQ12" s="81">
        <v>34.809600000000003</v>
      </c>
      <c r="AR12" s="107">
        <v>21.408450704225352</v>
      </c>
      <c r="AS12" s="108">
        <v>0.61501570555896501</v>
      </c>
      <c r="AT12" s="107">
        <v>13.401149295774651</v>
      </c>
      <c r="BL12" s="74" t="s">
        <v>214</v>
      </c>
      <c r="BN12" s="106" t="s">
        <v>150</v>
      </c>
      <c r="BO12" s="19" t="s">
        <v>52</v>
      </c>
      <c r="BP12" s="82" t="s">
        <v>35</v>
      </c>
      <c r="BR12" s="3">
        <v>94</v>
      </c>
      <c r="BS12" s="3">
        <v>3.68</v>
      </c>
      <c r="BT12" s="69">
        <v>345.92</v>
      </c>
      <c r="BU12" s="3">
        <v>2.0099999999999998</v>
      </c>
      <c r="BV12" s="80">
        <v>172.09950248756221</v>
      </c>
      <c r="BW12" s="3">
        <v>355</v>
      </c>
      <c r="BZ12" s="69">
        <v>22</v>
      </c>
      <c r="CA12" s="69">
        <v>1</v>
      </c>
      <c r="CB12" s="69">
        <v>22</v>
      </c>
      <c r="CC12" s="80">
        <v>144.76190476190476</v>
      </c>
      <c r="CD12" s="80">
        <v>218.33057547343259</v>
      </c>
      <c r="CJ12" s="86">
        <v>4.1377777777777771</v>
      </c>
      <c r="CK12" s="86">
        <v>1.1399999999999999</v>
      </c>
      <c r="CL12" s="86">
        <v>2.4911111111111111</v>
      </c>
      <c r="CM12" s="86">
        <v>6.2488888888888896</v>
      </c>
      <c r="CN12" s="86">
        <v>0</v>
      </c>
      <c r="CO12" s="86">
        <v>0.76</v>
      </c>
      <c r="CP12" s="86">
        <v>1.3088888888888888</v>
      </c>
      <c r="CQ12" s="86">
        <v>4.18</v>
      </c>
      <c r="CR12" s="86">
        <v>2.4911111111111111</v>
      </c>
      <c r="CS12" s="87">
        <v>0.43348148148148141</v>
      </c>
    </row>
    <row r="13" spans="1:97">
      <c r="A13" s="5">
        <v>44</v>
      </c>
      <c r="B13" t="s">
        <v>219</v>
      </c>
      <c r="C13" s="74" t="s">
        <v>214</v>
      </c>
      <c r="D13" s="91" t="s">
        <v>225</v>
      </c>
      <c r="E13" s="90" t="s">
        <v>234</v>
      </c>
      <c r="F13" s="67">
        <v>94</v>
      </c>
      <c r="G13" s="67">
        <v>91.3</v>
      </c>
      <c r="H13" s="69">
        <v>80.960000000000008</v>
      </c>
      <c r="I13" s="67">
        <v>70.400000000000006</v>
      </c>
      <c r="J13" s="67">
        <v>7600</v>
      </c>
      <c r="AJ13" s="67">
        <v>53</v>
      </c>
      <c r="AK13" s="69">
        <v>44.22</v>
      </c>
      <c r="AL13" s="69">
        <v>8.7800000000000011</v>
      </c>
      <c r="AM13" s="85">
        <v>0.8343396226415094</v>
      </c>
      <c r="AN13" s="67">
        <v>370</v>
      </c>
      <c r="AO13" s="67">
        <v>650</v>
      </c>
      <c r="AP13" s="67">
        <v>160</v>
      </c>
      <c r="AQ13" s="81">
        <v>38.479999999999997</v>
      </c>
      <c r="AR13" s="107">
        <v>21.408450704225352</v>
      </c>
      <c r="AS13" s="108">
        <v>0.55635266902872538</v>
      </c>
      <c r="AT13" s="107">
        <v>17.071549295774645</v>
      </c>
      <c r="BL13" s="74" t="s">
        <v>214</v>
      </c>
      <c r="BN13" s="106" t="s">
        <v>150</v>
      </c>
      <c r="BO13" s="19" t="s">
        <v>52</v>
      </c>
      <c r="BP13" s="82" t="s">
        <v>35</v>
      </c>
      <c r="BR13" s="3">
        <v>94</v>
      </c>
      <c r="BS13" s="3">
        <v>3.68</v>
      </c>
      <c r="BT13" s="69">
        <v>345.92</v>
      </c>
      <c r="BU13" s="3">
        <v>2.0099999999999998</v>
      </c>
      <c r="BV13" s="80">
        <v>172.09950248756221</v>
      </c>
      <c r="BW13" s="3">
        <v>355</v>
      </c>
      <c r="BZ13" s="3">
        <v>22</v>
      </c>
      <c r="CA13" s="3">
        <v>1</v>
      </c>
      <c r="CB13" s="69">
        <v>22</v>
      </c>
      <c r="CC13" s="80">
        <v>143.39622641509433</v>
      </c>
      <c r="CD13" s="80">
        <v>197.50519750519751</v>
      </c>
      <c r="CJ13" s="86">
        <v>4.1377777777777771</v>
      </c>
      <c r="CK13" s="86">
        <v>1.1399999999999999</v>
      </c>
      <c r="CL13" s="86">
        <v>2.4911111111111111</v>
      </c>
      <c r="CM13" s="86">
        <v>6.2488888888888896</v>
      </c>
      <c r="CN13" s="86">
        <v>0</v>
      </c>
      <c r="CO13" s="86">
        <v>0.76</v>
      </c>
      <c r="CP13" s="86">
        <v>1.3088888888888888</v>
      </c>
      <c r="CQ13" s="86">
        <v>4.18</v>
      </c>
      <c r="CR13" s="86">
        <v>2.4911111111111111</v>
      </c>
      <c r="CS13" s="87">
        <v>0.42939203354297689</v>
      </c>
    </row>
    <row r="14" spans="1:97">
      <c r="A14" s="5">
        <v>16</v>
      </c>
      <c r="B14" t="s">
        <v>220</v>
      </c>
      <c r="C14" s="74" t="s">
        <v>214</v>
      </c>
      <c r="D14" s="91" t="s">
        <v>226</v>
      </c>
      <c r="E14" s="90" t="s">
        <v>234</v>
      </c>
      <c r="F14" s="67">
        <v>68</v>
      </c>
      <c r="G14" s="67">
        <v>90.2</v>
      </c>
      <c r="I14" s="67">
        <v>68.2</v>
      </c>
      <c r="J14" s="67">
        <v>5500</v>
      </c>
      <c r="AJ14" s="67">
        <v>49</v>
      </c>
      <c r="AN14" s="67">
        <v>370</v>
      </c>
      <c r="AO14" s="67">
        <v>650</v>
      </c>
      <c r="AP14" s="67">
        <v>160</v>
      </c>
      <c r="AQ14" s="81">
        <v>38.479999999999997</v>
      </c>
      <c r="BL14" s="74" t="s">
        <v>214</v>
      </c>
      <c r="BO14" s="19"/>
      <c r="BP14" s="82" t="s">
        <v>35</v>
      </c>
      <c r="CC14" s="80">
        <v>112.24489795918367</v>
      </c>
      <c r="CD14" s="80">
        <v>142.93139293139293</v>
      </c>
    </row>
    <row r="15" spans="1:97">
      <c r="A15" s="5">
        <v>15</v>
      </c>
      <c r="B15" t="s">
        <v>230</v>
      </c>
      <c r="C15" s="74" t="s">
        <v>214</v>
      </c>
      <c r="D15" s="91" t="s">
        <v>227</v>
      </c>
      <c r="E15" s="90" t="s">
        <v>234</v>
      </c>
      <c r="F15" s="67">
        <v>100</v>
      </c>
      <c r="G15" s="67">
        <v>49.8</v>
      </c>
      <c r="I15" s="67">
        <v>38.4</v>
      </c>
      <c r="J15" s="67">
        <v>8800</v>
      </c>
      <c r="AJ15" s="67">
        <v>61</v>
      </c>
      <c r="AN15" s="67">
        <v>370</v>
      </c>
      <c r="AO15" s="67">
        <v>637</v>
      </c>
      <c r="AP15" s="67">
        <v>160</v>
      </c>
      <c r="AQ15" s="81">
        <v>37.7104</v>
      </c>
      <c r="BL15" s="74" t="s">
        <v>214</v>
      </c>
      <c r="BO15" s="19"/>
      <c r="CC15" s="80">
        <v>144.26229508196721</v>
      </c>
      <c r="CD15" s="80">
        <v>233.35737621451906</v>
      </c>
    </row>
    <row r="16" spans="1:97">
      <c r="A16" s="5">
        <v>15</v>
      </c>
      <c r="B16" t="s">
        <v>231</v>
      </c>
      <c r="C16" s="74" t="s">
        <v>214</v>
      </c>
      <c r="D16" s="91" t="s">
        <v>228</v>
      </c>
      <c r="E16" s="90" t="s">
        <v>234</v>
      </c>
      <c r="F16" s="67">
        <v>100</v>
      </c>
      <c r="G16" s="67">
        <v>91.3</v>
      </c>
      <c r="I16" s="67">
        <v>70.400000000000006</v>
      </c>
      <c r="J16" s="67">
        <v>8100</v>
      </c>
      <c r="AJ16" s="67">
        <v>56</v>
      </c>
      <c r="AN16" s="67">
        <v>370</v>
      </c>
      <c r="AO16" s="67">
        <v>650</v>
      </c>
      <c r="AP16" s="67">
        <v>160</v>
      </c>
      <c r="AQ16" s="81">
        <v>38.479999999999997</v>
      </c>
      <c r="BL16" s="74" t="s">
        <v>214</v>
      </c>
      <c r="BO16" s="19"/>
      <c r="CC16" s="80">
        <v>144.64285714285714</v>
      </c>
      <c r="CD16" s="80">
        <v>210.49896049896051</v>
      </c>
    </row>
    <row r="17" spans="1:97">
      <c r="A17" s="5">
        <v>47</v>
      </c>
      <c r="B17" t="s">
        <v>232</v>
      </c>
      <c r="C17" s="134" t="s">
        <v>214</v>
      </c>
      <c r="D17" s="91" t="s">
        <v>229</v>
      </c>
      <c r="E17" s="90" t="s">
        <v>234</v>
      </c>
      <c r="F17" s="67">
        <v>78</v>
      </c>
      <c r="G17" s="67">
        <v>90.2</v>
      </c>
      <c r="H17" s="67">
        <v>81.400000000000006</v>
      </c>
      <c r="I17" s="67">
        <v>68.2</v>
      </c>
      <c r="J17" s="67">
        <v>6300</v>
      </c>
      <c r="Z17" s="67">
        <v>12.7</v>
      </c>
      <c r="AJ17" s="67">
        <v>54</v>
      </c>
      <c r="AK17" s="69">
        <v>45.98</v>
      </c>
      <c r="AL17" s="69">
        <v>8.0200000000000031</v>
      </c>
      <c r="AM17" s="85">
        <v>0.85148148148148139</v>
      </c>
      <c r="AN17" s="67">
        <v>370</v>
      </c>
      <c r="AO17" s="67">
        <v>650</v>
      </c>
      <c r="AP17" s="67">
        <v>160</v>
      </c>
      <c r="AQ17" s="81">
        <v>38.479999999999997</v>
      </c>
      <c r="AR17" s="107">
        <v>21.35593220338983</v>
      </c>
      <c r="AS17" s="108">
        <v>0.55498784312343641</v>
      </c>
      <c r="AT17" s="107">
        <v>17.124067796610166</v>
      </c>
      <c r="AX17" t="s">
        <v>113</v>
      </c>
      <c r="BH17" s="67">
        <v>2</v>
      </c>
      <c r="BI17" s="67">
        <v>22</v>
      </c>
      <c r="BL17" s="74" t="s">
        <v>214</v>
      </c>
      <c r="BO17" s="19" t="s">
        <v>52</v>
      </c>
      <c r="BP17" s="3" t="s">
        <v>35</v>
      </c>
      <c r="BR17" s="67">
        <v>78</v>
      </c>
      <c r="BS17" s="67">
        <v>3.7</v>
      </c>
      <c r="BT17" s="67">
        <v>288</v>
      </c>
      <c r="BU17" s="67">
        <v>2.09</v>
      </c>
      <c r="BV17" s="80">
        <v>137.79904306220098</v>
      </c>
      <c r="BW17" s="67">
        <v>295</v>
      </c>
      <c r="BZ17" s="67">
        <v>22</v>
      </c>
      <c r="CA17" s="67">
        <v>1</v>
      </c>
      <c r="CB17" s="69">
        <v>22</v>
      </c>
      <c r="CC17" s="80">
        <v>116.66666666666667</v>
      </c>
      <c r="CD17" s="80">
        <v>163.72141372141374</v>
      </c>
      <c r="CJ17" s="86">
        <v>3.4299999999999997</v>
      </c>
      <c r="CK17" s="86">
        <v>0.94499999999999995</v>
      </c>
      <c r="CL17" s="86">
        <v>2.0649999999999999</v>
      </c>
      <c r="CM17" s="86">
        <v>5.1800000000000006</v>
      </c>
      <c r="CN17" s="86">
        <v>0</v>
      </c>
      <c r="CO17" s="86">
        <v>0.63</v>
      </c>
      <c r="CP17" s="86">
        <v>1.085</v>
      </c>
      <c r="CQ17" s="86">
        <v>3.4650000000000003</v>
      </c>
      <c r="CR17" s="86">
        <v>2.0649999999999999</v>
      </c>
      <c r="CS17" s="87">
        <v>0.34935185185185191</v>
      </c>
    </row>
    <row r="18" spans="1:97">
      <c r="A18" s="5">
        <v>29</v>
      </c>
      <c r="B18" t="s">
        <v>235</v>
      </c>
      <c r="C18" s="74" t="s">
        <v>69</v>
      </c>
      <c r="D18" s="91" t="s">
        <v>236</v>
      </c>
      <c r="E18" s="106" t="s">
        <v>283</v>
      </c>
      <c r="F18" s="69">
        <v>104</v>
      </c>
      <c r="H18" s="67">
        <v>22.2</v>
      </c>
      <c r="J18" s="67">
        <v>2308.8000000000002</v>
      </c>
      <c r="W18" s="67">
        <v>312</v>
      </c>
      <c r="X18" s="67"/>
      <c r="Y18" s="67"/>
      <c r="AA18" s="67">
        <v>104</v>
      </c>
      <c r="AJ18" s="67">
        <v>11</v>
      </c>
      <c r="AK18" s="69">
        <v>8.7119999999999997</v>
      </c>
      <c r="AL18" s="69">
        <v>2.2880000000000003</v>
      </c>
      <c r="AM18" s="85">
        <v>0.79199999999999993</v>
      </c>
      <c r="AN18" s="67">
        <v>355</v>
      </c>
      <c r="AO18" s="67">
        <v>151.5</v>
      </c>
      <c r="AP18" s="67">
        <v>108</v>
      </c>
      <c r="AQ18" s="81">
        <v>5.8085100000000001</v>
      </c>
      <c r="BL18" s="74" t="s">
        <v>69</v>
      </c>
      <c r="BN18" s="82" t="s">
        <v>148</v>
      </c>
      <c r="BO18" s="19"/>
      <c r="BP18" s="91" t="s">
        <v>41</v>
      </c>
      <c r="BR18" s="67">
        <v>52</v>
      </c>
      <c r="BS18" s="67">
        <v>3.7</v>
      </c>
      <c r="BT18" s="67">
        <v>192.4</v>
      </c>
      <c r="BU18" s="67">
        <v>0.72599999999999998</v>
      </c>
      <c r="BV18" s="80">
        <v>265.01377410468319</v>
      </c>
      <c r="BZ18" s="69">
        <v>6</v>
      </c>
      <c r="CA18" s="69">
        <v>2</v>
      </c>
      <c r="CB18" s="69">
        <v>12</v>
      </c>
      <c r="CC18" s="80">
        <v>209.8909090909091</v>
      </c>
      <c r="CD18" s="80">
        <v>397.48575796546794</v>
      </c>
    </row>
    <row r="19" spans="1:97">
      <c r="A19" s="5">
        <v>48</v>
      </c>
      <c r="B19" t="s">
        <v>237</v>
      </c>
      <c r="C19" s="74" t="s">
        <v>55</v>
      </c>
      <c r="D19" s="91" t="s">
        <v>236</v>
      </c>
      <c r="E19" s="106" t="s">
        <v>283</v>
      </c>
      <c r="F19" s="67">
        <v>49</v>
      </c>
      <c r="G19" s="67">
        <v>46.2</v>
      </c>
      <c r="H19" s="67">
        <v>39.82</v>
      </c>
      <c r="I19" s="67">
        <v>29.7</v>
      </c>
      <c r="J19" s="67">
        <v>1950</v>
      </c>
      <c r="V19" s="67">
        <v>14.98</v>
      </c>
      <c r="W19" s="67">
        <v>370</v>
      </c>
      <c r="X19" s="67"/>
      <c r="Y19" s="67"/>
      <c r="AJ19" s="67">
        <v>9.85</v>
      </c>
      <c r="AK19" s="69">
        <v>8.14</v>
      </c>
      <c r="AL19" s="69">
        <v>1.7099999999999991</v>
      </c>
      <c r="AM19" s="85">
        <v>0.8263959390862945</v>
      </c>
      <c r="AN19" s="67">
        <v>355</v>
      </c>
      <c r="AO19" s="67">
        <v>139.69999999999999</v>
      </c>
      <c r="AP19" s="67">
        <v>108.5</v>
      </c>
      <c r="AQ19" s="81">
        <v>5.3808947499999995</v>
      </c>
      <c r="BC19" s="67">
        <v>55</v>
      </c>
      <c r="BD19" s="67">
        <v>-40</v>
      </c>
      <c r="BE19" s="67">
        <v>50</v>
      </c>
      <c r="BF19" s="67">
        <v>-30</v>
      </c>
      <c r="BL19" s="74" t="s">
        <v>55</v>
      </c>
      <c r="BN19" s="82" t="s">
        <v>137</v>
      </c>
      <c r="BO19" s="19" t="s">
        <v>52</v>
      </c>
      <c r="BP19" s="91" t="s">
        <v>41</v>
      </c>
      <c r="BR19" s="67">
        <v>49</v>
      </c>
      <c r="BS19" s="67">
        <v>3.62</v>
      </c>
      <c r="BT19" s="67">
        <v>177.38</v>
      </c>
      <c r="BU19" s="67">
        <v>0.74</v>
      </c>
      <c r="BV19" s="80">
        <v>239.70270270270271</v>
      </c>
      <c r="BZ19" s="67">
        <v>11</v>
      </c>
      <c r="CA19" s="67">
        <v>1</v>
      </c>
      <c r="CB19" s="69">
        <v>11</v>
      </c>
      <c r="CC19" s="80">
        <v>197.96954314720813</v>
      </c>
      <c r="CD19" s="80">
        <v>362.39326182694805</v>
      </c>
      <c r="CE19" s="80">
        <v>1520.8121827411169</v>
      </c>
      <c r="CH19" s="80">
        <v>2783.9236216244522</v>
      </c>
      <c r="CJ19" s="86">
        <v>1.0616666666666665</v>
      </c>
      <c r="CK19" s="86">
        <v>0.29249999999999998</v>
      </c>
      <c r="CL19" s="86">
        <v>0.63916666666666666</v>
      </c>
      <c r="CM19" s="86">
        <v>1.6033333333333335</v>
      </c>
      <c r="CN19" s="86">
        <v>0</v>
      </c>
      <c r="CO19" s="86">
        <v>0.19500000000000001</v>
      </c>
      <c r="CP19" s="86">
        <v>0.33583333333333332</v>
      </c>
      <c r="CQ19" s="86">
        <v>1.0725</v>
      </c>
      <c r="CR19" s="86">
        <v>0.63916666666666666</v>
      </c>
      <c r="CS19" s="87">
        <v>0.59280879864636205</v>
      </c>
    </row>
    <row r="20" spans="1:97">
      <c r="A20" s="5">
        <v>41</v>
      </c>
      <c r="B20" t="s">
        <v>240</v>
      </c>
      <c r="C20" s="74" t="s">
        <v>55</v>
      </c>
      <c r="D20" s="91" t="s">
        <v>241</v>
      </c>
      <c r="E20" s="106" t="s">
        <v>283</v>
      </c>
      <c r="F20" s="67">
        <v>234</v>
      </c>
      <c r="G20" s="67">
        <v>34</v>
      </c>
      <c r="H20" s="67">
        <v>29.5</v>
      </c>
      <c r="I20" s="67">
        <v>22.4</v>
      </c>
      <c r="J20" s="67">
        <v>6900</v>
      </c>
      <c r="V20" s="67">
        <v>20</v>
      </c>
      <c r="W20" s="67">
        <v>600</v>
      </c>
      <c r="X20" s="67"/>
      <c r="Y20" s="67"/>
      <c r="AJ20" s="67">
        <v>29.4</v>
      </c>
      <c r="AN20" s="67">
        <v>590</v>
      </c>
      <c r="AO20" s="67">
        <v>225</v>
      </c>
      <c r="AP20" s="67">
        <v>108</v>
      </c>
      <c r="AQ20" s="81">
        <v>14.337</v>
      </c>
      <c r="BC20" s="67">
        <v>55</v>
      </c>
      <c r="BD20" s="67">
        <v>-25</v>
      </c>
      <c r="BE20" s="67">
        <v>60</v>
      </c>
      <c r="BF20" s="67">
        <v>-30</v>
      </c>
      <c r="BL20" s="74" t="s">
        <v>55</v>
      </c>
      <c r="BO20" s="19" t="s">
        <v>52</v>
      </c>
      <c r="BR20" s="69">
        <v>78</v>
      </c>
      <c r="BS20" s="81">
        <v>3.6875</v>
      </c>
      <c r="BT20" s="69">
        <v>287.625</v>
      </c>
      <c r="BZ20" s="67">
        <v>8</v>
      </c>
      <c r="CA20" s="67">
        <v>3</v>
      </c>
      <c r="CB20" s="69">
        <v>24</v>
      </c>
      <c r="CC20" s="80">
        <v>234.69387755102042</v>
      </c>
      <c r="CD20" s="80">
        <v>481.27223268466207</v>
      </c>
      <c r="CE20" s="80">
        <v>680.27210884353747</v>
      </c>
      <c r="CH20" s="80">
        <v>1394.9919787961219</v>
      </c>
      <c r="CJ20" s="86">
        <v>3.7566666666666664</v>
      </c>
      <c r="CK20" s="86">
        <v>1.0349999999999999</v>
      </c>
      <c r="CL20" s="86">
        <v>2.2616666666666667</v>
      </c>
      <c r="CM20" s="86">
        <v>5.6733333333333338</v>
      </c>
      <c r="CN20" s="86">
        <v>0</v>
      </c>
      <c r="CO20" s="86">
        <v>0.69000000000000006</v>
      </c>
      <c r="CP20" s="86">
        <v>1.1883333333333335</v>
      </c>
      <c r="CQ20" s="86">
        <v>3.7950000000000004</v>
      </c>
      <c r="CR20" s="86">
        <v>2.2616666666666667</v>
      </c>
      <c r="CS20" s="87">
        <v>0.70277777777777783</v>
      </c>
    </row>
    <row r="21" spans="1:97">
      <c r="A21" s="5">
        <v>42</v>
      </c>
      <c r="B21" t="s">
        <v>248</v>
      </c>
      <c r="C21" s="74" t="s">
        <v>59</v>
      </c>
      <c r="D21" s="91" t="s">
        <v>242</v>
      </c>
      <c r="E21" s="82" t="s">
        <v>165</v>
      </c>
      <c r="F21" s="67">
        <v>180</v>
      </c>
      <c r="H21" s="67">
        <v>12.8</v>
      </c>
      <c r="J21" s="67">
        <v>2304</v>
      </c>
      <c r="AA21" s="69">
        <v>180</v>
      </c>
      <c r="AE21" s="69">
        <v>180</v>
      </c>
      <c r="AJ21" s="67">
        <v>18</v>
      </c>
      <c r="AN21" s="67">
        <v>399.2</v>
      </c>
      <c r="AO21" s="67">
        <v>139.5</v>
      </c>
      <c r="AP21" s="67">
        <v>215.3</v>
      </c>
      <c r="AQ21" s="81">
        <v>11.989712520000001</v>
      </c>
      <c r="AY21" s="67">
        <v>0</v>
      </c>
      <c r="AZ21" s="67">
        <v>45</v>
      </c>
      <c r="BA21" s="67">
        <v>-20</v>
      </c>
      <c r="BB21" s="67">
        <v>55</v>
      </c>
      <c r="BL21" s="92" t="s">
        <v>59</v>
      </c>
      <c r="BM21" s="92" t="s">
        <v>68</v>
      </c>
      <c r="BO21" s="19" t="s">
        <v>53</v>
      </c>
      <c r="BP21" s="91" t="s">
        <v>35</v>
      </c>
      <c r="BR21" s="67">
        <v>90</v>
      </c>
      <c r="BS21" s="67">
        <v>3.2</v>
      </c>
      <c r="BT21" s="69">
        <v>288</v>
      </c>
      <c r="BU21" s="67">
        <v>1.99</v>
      </c>
      <c r="BV21" s="80">
        <v>144.72361809045225</v>
      </c>
      <c r="BW21" s="69">
        <v>318</v>
      </c>
      <c r="BZ21" s="67">
        <v>4</v>
      </c>
      <c r="CA21" s="67">
        <v>2</v>
      </c>
      <c r="CB21" s="69">
        <v>8</v>
      </c>
      <c r="CC21" s="80">
        <v>128</v>
      </c>
      <c r="CD21" s="80">
        <v>192.16474091073533</v>
      </c>
      <c r="CJ21" s="86">
        <v>1.6895999999999998</v>
      </c>
      <c r="CK21" s="86">
        <v>0</v>
      </c>
      <c r="CL21" s="86">
        <v>0.99839999999999995</v>
      </c>
      <c r="CM21" s="86">
        <v>2.5344000000000002</v>
      </c>
      <c r="CN21" s="86">
        <v>1.5744</v>
      </c>
      <c r="CO21" s="86">
        <v>0.23039999999999999</v>
      </c>
      <c r="CP21" s="86">
        <v>0</v>
      </c>
      <c r="CQ21" s="86">
        <v>0</v>
      </c>
      <c r="CR21" s="86">
        <v>0.99839999999999995</v>
      </c>
      <c r="CS21" s="87">
        <v>0.44586666666666669</v>
      </c>
    </row>
    <row r="22" spans="1:97">
      <c r="A22" s="5">
        <v>42</v>
      </c>
      <c r="B22" t="s">
        <v>249</v>
      </c>
      <c r="C22" s="74" t="s">
        <v>59</v>
      </c>
      <c r="D22" s="91" t="s">
        <v>243</v>
      </c>
      <c r="E22" s="82" t="s">
        <v>165</v>
      </c>
      <c r="F22" s="67">
        <v>100</v>
      </c>
      <c r="H22" s="67">
        <v>25.6</v>
      </c>
      <c r="J22" s="67">
        <v>2560</v>
      </c>
      <c r="AA22" s="67">
        <v>100</v>
      </c>
      <c r="AE22" s="67">
        <v>100</v>
      </c>
      <c r="AJ22" s="67">
        <v>17</v>
      </c>
      <c r="AN22" s="67">
        <v>448.5</v>
      </c>
      <c r="AO22" s="67">
        <v>163</v>
      </c>
      <c r="AP22" s="67">
        <v>125.6</v>
      </c>
      <c r="AQ22" s="81">
        <v>9.182050799999999</v>
      </c>
      <c r="AY22" s="67">
        <v>0</v>
      </c>
      <c r="AZ22" s="67">
        <v>55</v>
      </c>
      <c r="BA22" s="67">
        <v>-20</v>
      </c>
      <c r="BB22" s="67">
        <v>55</v>
      </c>
      <c r="BL22" s="92" t="s">
        <v>59</v>
      </c>
      <c r="BM22" s="92" t="s">
        <v>64</v>
      </c>
      <c r="BO22" s="19" t="s">
        <v>53</v>
      </c>
      <c r="BP22" s="91" t="s">
        <v>35</v>
      </c>
      <c r="BR22" s="67">
        <v>100</v>
      </c>
      <c r="BS22" s="67">
        <v>3.2</v>
      </c>
      <c r="BT22" s="69">
        <v>320</v>
      </c>
      <c r="BU22" s="67">
        <v>1.98</v>
      </c>
      <c r="BV22" s="80">
        <v>161.61616161616161</v>
      </c>
      <c r="BW22" s="69">
        <v>345</v>
      </c>
      <c r="BZ22" s="67">
        <v>8</v>
      </c>
      <c r="CA22" s="67">
        <v>1</v>
      </c>
      <c r="CB22" s="69">
        <v>8</v>
      </c>
      <c r="CC22" s="80">
        <v>150.58823529411765</v>
      </c>
      <c r="CD22" s="80">
        <v>278.80481776467633</v>
      </c>
      <c r="CJ22" s="86">
        <v>1.8773333333333333</v>
      </c>
      <c r="CK22" s="86">
        <v>0</v>
      </c>
      <c r="CL22" s="86">
        <v>1.1093333333333335</v>
      </c>
      <c r="CM22" s="86">
        <v>2.8160000000000003</v>
      </c>
      <c r="CN22" s="86">
        <v>1.7493333333333334</v>
      </c>
      <c r="CO22" s="86">
        <v>0.25600000000000001</v>
      </c>
      <c r="CP22" s="86">
        <v>0</v>
      </c>
      <c r="CQ22" s="86">
        <v>0</v>
      </c>
      <c r="CR22" s="86">
        <v>1.1093333333333335</v>
      </c>
      <c r="CS22" s="87">
        <v>0.52454901960784317</v>
      </c>
    </row>
    <row r="23" spans="1:97">
      <c r="A23" s="5">
        <v>44</v>
      </c>
      <c r="B23" t="s">
        <v>250</v>
      </c>
      <c r="C23" s="74" t="s">
        <v>59</v>
      </c>
      <c r="D23" s="91" t="s">
        <v>244</v>
      </c>
      <c r="E23" s="82" t="s">
        <v>165</v>
      </c>
      <c r="F23" s="67">
        <v>210</v>
      </c>
      <c r="H23" s="67">
        <v>19.2</v>
      </c>
      <c r="J23" s="67">
        <v>4032</v>
      </c>
      <c r="N23" s="83">
        <v>3.5999999999999999E-3</v>
      </c>
      <c r="AA23" s="69">
        <v>105</v>
      </c>
      <c r="AE23" s="69">
        <v>105</v>
      </c>
      <c r="AJ23" s="67">
        <v>25.8</v>
      </c>
      <c r="AN23" s="67">
        <v>485.9</v>
      </c>
      <c r="AO23" s="67">
        <v>135</v>
      </c>
      <c r="AP23" s="67">
        <v>209.6</v>
      </c>
      <c r="AQ23" s="81">
        <v>13.7490264</v>
      </c>
      <c r="AY23" s="67">
        <v>0</v>
      </c>
      <c r="AZ23" s="67">
        <v>45</v>
      </c>
      <c r="BA23" s="67">
        <v>-20</v>
      </c>
      <c r="BB23" s="67">
        <v>55</v>
      </c>
      <c r="BL23" s="92" t="s">
        <v>59</v>
      </c>
      <c r="BM23" s="92" t="s">
        <v>254</v>
      </c>
      <c r="BO23" s="19" t="s">
        <v>53</v>
      </c>
      <c r="BP23" s="91" t="s">
        <v>35</v>
      </c>
      <c r="BR23" s="67">
        <v>105</v>
      </c>
      <c r="BS23" s="67">
        <v>3.2</v>
      </c>
      <c r="BT23" s="69">
        <v>336</v>
      </c>
      <c r="BU23" s="67">
        <v>1.98</v>
      </c>
      <c r="BV23" s="80">
        <v>169.69696969696969</v>
      </c>
      <c r="BW23" s="69">
        <v>359</v>
      </c>
      <c r="BX23" s="69">
        <v>1.1999999999999999E-3</v>
      </c>
      <c r="BZ23" s="67">
        <v>6</v>
      </c>
      <c r="CA23" s="67">
        <v>2</v>
      </c>
      <c r="CB23" s="69">
        <v>12</v>
      </c>
      <c r="CC23" s="80">
        <v>156.27906976744185</v>
      </c>
      <c r="CD23" s="80">
        <v>293.25712837383162</v>
      </c>
      <c r="CJ23" s="86">
        <v>2.9567999999999999</v>
      </c>
      <c r="CK23" s="86">
        <v>0</v>
      </c>
      <c r="CL23" s="86">
        <v>1.7472000000000001</v>
      </c>
      <c r="CM23" s="86">
        <v>4.4352</v>
      </c>
      <c r="CN23" s="86">
        <v>2.7551999999999999</v>
      </c>
      <c r="CO23" s="86">
        <v>0.4032</v>
      </c>
      <c r="CP23" s="86">
        <v>0</v>
      </c>
      <c r="CQ23" s="86">
        <v>0</v>
      </c>
      <c r="CR23" s="86">
        <v>1.7472000000000001</v>
      </c>
      <c r="CS23" s="87">
        <v>0.54437209302325573</v>
      </c>
    </row>
    <row r="24" spans="1:97">
      <c r="A24" s="5">
        <v>44</v>
      </c>
      <c r="B24" t="s">
        <v>251</v>
      </c>
      <c r="C24" s="74" t="s">
        <v>59</v>
      </c>
      <c r="D24" s="91" t="s">
        <v>245</v>
      </c>
      <c r="E24" s="82" t="s">
        <v>165</v>
      </c>
      <c r="F24" s="67">
        <v>280</v>
      </c>
      <c r="H24" s="67">
        <v>16</v>
      </c>
      <c r="J24" s="67">
        <v>4480</v>
      </c>
      <c r="N24" s="83">
        <v>7.4999999999999997E-3</v>
      </c>
      <c r="AA24" s="69">
        <v>280</v>
      </c>
      <c r="AE24" s="69">
        <v>280</v>
      </c>
      <c r="AJ24" s="67">
        <v>25.8</v>
      </c>
      <c r="AN24" s="67">
        <v>486</v>
      </c>
      <c r="AO24" s="67">
        <v>177.6</v>
      </c>
      <c r="AP24" s="67">
        <v>223.6</v>
      </c>
      <c r="AQ24" s="81">
        <v>19.299720959999998</v>
      </c>
      <c r="AY24" s="67">
        <v>0</v>
      </c>
      <c r="AZ24" s="67">
        <v>45</v>
      </c>
      <c r="BA24" s="67">
        <v>-20</v>
      </c>
      <c r="BB24" s="67">
        <v>55</v>
      </c>
      <c r="BL24" s="92" t="s">
        <v>59</v>
      </c>
      <c r="BM24" s="92" t="s">
        <v>153</v>
      </c>
      <c r="BO24" s="19" t="s">
        <v>53</v>
      </c>
      <c r="BP24" s="91" t="s">
        <v>35</v>
      </c>
      <c r="BR24" s="67">
        <v>280</v>
      </c>
      <c r="BS24" s="67">
        <v>3.2</v>
      </c>
      <c r="BT24" s="69">
        <v>896</v>
      </c>
      <c r="BU24" s="67">
        <v>5.42</v>
      </c>
      <c r="BV24" s="80">
        <v>165.31365313653137</v>
      </c>
      <c r="BW24" s="69">
        <v>352</v>
      </c>
      <c r="BX24" s="69">
        <v>1.5E-3</v>
      </c>
      <c r="BZ24" s="67">
        <v>5</v>
      </c>
      <c r="CA24" s="67">
        <v>1</v>
      </c>
      <c r="CB24" s="69">
        <v>5</v>
      </c>
      <c r="CC24" s="80">
        <v>173.64341085271317</v>
      </c>
      <c r="CD24" s="80">
        <v>232.12770844123128</v>
      </c>
      <c r="CJ24" s="86">
        <v>3.2853333333333334</v>
      </c>
      <c r="CK24" s="86">
        <v>0</v>
      </c>
      <c r="CL24" s="86">
        <v>1.9413333333333336</v>
      </c>
      <c r="CM24" s="86">
        <v>4.9280000000000008</v>
      </c>
      <c r="CN24" s="86">
        <v>3.0613333333333337</v>
      </c>
      <c r="CO24" s="86">
        <v>0.44800000000000006</v>
      </c>
      <c r="CP24" s="86">
        <v>0</v>
      </c>
      <c r="CQ24" s="86">
        <v>0</v>
      </c>
      <c r="CR24" s="86">
        <v>1.9413333333333336</v>
      </c>
      <c r="CS24" s="87">
        <v>0.60485788113695094</v>
      </c>
    </row>
    <row r="25" spans="1:97">
      <c r="A25" s="5">
        <v>44</v>
      </c>
      <c r="B25" t="s">
        <v>252</v>
      </c>
      <c r="C25" s="74" t="s">
        <v>59</v>
      </c>
      <c r="D25" s="91" t="s">
        <v>246</v>
      </c>
      <c r="E25" s="82" t="s">
        <v>165</v>
      </c>
      <c r="F25" s="67">
        <v>280</v>
      </c>
      <c r="H25" s="67">
        <v>25.6</v>
      </c>
      <c r="J25" s="67">
        <v>7168</v>
      </c>
      <c r="N25" s="100">
        <v>1.2E-2</v>
      </c>
      <c r="AA25" s="69">
        <v>280</v>
      </c>
      <c r="AE25" s="69">
        <v>280</v>
      </c>
      <c r="AJ25" s="67">
        <v>45.15</v>
      </c>
      <c r="AN25" s="67">
        <v>629</v>
      </c>
      <c r="AO25" s="67">
        <v>178.5</v>
      </c>
      <c r="AP25" s="67">
        <v>215</v>
      </c>
      <c r="AQ25" s="81">
        <v>24.139447499999999</v>
      </c>
      <c r="AY25" s="67">
        <v>0</v>
      </c>
      <c r="AZ25" s="67">
        <v>45</v>
      </c>
      <c r="BA25" s="67">
        <v>-20</v>
      </c>
      <c r="BB25" s="67">
        <v>55</v>
      </c>
      <c r="BL25" s="92" t="s">
        <v>59</v>
      </c>
      <c r="BM25" s="92" t="s">
        <v>153</v>
      </c>
      <c r="BO25" s="19" t="s">
        <v>53</v>
      </c>
      <c r="BP25" s="91" t="s">
        <v>35</v>
      </c>
      <c r="BR25" s="67">
        <v>280</v>
      </c>
      <c r="BS25" s="67">
        <v>3.2</v>
      </c>
      <c r="BT25" s="69">
        <v>896</v>
      </c>
      <c r="BU25" s="67">
        <v>5.42</v>
      </c>
      <c r="BV25" s="80">
        <v>165.31365313653137</v>
      </c>
      <c r="BW25" s="69">
        <v>352</v>
      </c>
      <c r="BX25" s="69">
        <v>1.5E-3</v>
      </c>
      <c r="BZ25" s="67">
        <v>8</v>
      </c>
      <c r="CA25" s="67">
        <v>1</v>
      </c>
      <c r="CB25" s="69">
        <v>8</v>
      </c>
      <c r="CC25" s="80">
        <v>158.75968992248062</v>
      </c>
      <c r="CD25" s="80">
        <v>296.94134466002174</v>
      </c>
      <c r="CJ25" s="86">
        <v>5.2565333333333335</v>
      </c>
      <c r="CK25" s="86">
        <v>0</v>
      </c>
      <c r="CL25" s="86">
        <v>3.1061333333333336</v>
      </c>
      <c r="CM25" s="86">
        <v>7.8848000000000011</v>
      </c>
      <c r="CN25" s="86">
        <v>4.8981333333333339</v>
      </c>
      <c r="CO25" s="86">
        <v>0.7168000000000001</v>
      </c>
      <c r="CP25" s="86">
        <v>0</v>
      </c>
      <c r="CQ25" s="86">
        <v>0</v>
      </c>
      <c r="CR25" s="86">
        <v>3.1061333333333336</v>
      </c>
      <c r="CS25" s="87">
        <v>0.55301291989664081</v>
      </c>
    </row>
    <row r="26" spans="1:97">
      <c r="A26" s="5">
        <v>44</v>
      </c>
      <c r="B26" t="s">
        <v>253</v>
      </c>
      <c r="C26" s="74" t="s">
        <v>59</v>
      </c>
      <c r="D26" s="91" t="s">
        <v>247</v>
      </c>
      <c r="E26" s="82" t="s">
        <v>165</v>
      </c>
      <c r="F26" s="67">
        <v>280</v>
      </c>
      <c r="H26" s="67">
        <v>38.4</v>
      </c>
      <c r="J26" s="67">
        <v>10752</v>
      </c>
      <c r="N26" s="100">
        <v>1.8000000000000002E-2</v>
      </c>
      <c r="AA26" s="69">
        <v>280</v>
      </c>
      <c r="AE26" s="69">
        <v>280</v>
      </c>
      <c r="AJ26" s="67">
        <v>67</v>
      </c>
      <c r="AN26" s="67">
        <v>913.6</v>
      </c>
      <c r="AO26" s="67">
        <v>173.5</v>
      </c>
      <c r="AP26" s="67">
        <v>213.9</v>
      </c>
      <c r="AQ26" s="81">
        <v>33.905203440000008</v>
      </c>
      <c r="AY26" s="67">
        <v>0</v>
      </c>
      <c r="AZ26" s="67">
        <v>45</v>
      </c>
      <c r="BA26" s="67">
        <v>-20</v>
      </c>
      <c r="BB26" s="67">
        <v>55</v>
      </c>
      <c r="BL26" s="92" t="s">
        <v>59</v>
      </c>
      <c r="BM26" s="92" t="s">
        <v>153</v>
      </c>
      <c r="BO26" s="19" t="s">
        <v>53</v>
      </c>
      <c r="BP26" s="91" t="s">
        <v>35</v>
      </c>
      <c r="BR26" s="67">
        <v>280</v>
      </c>
      <c r="BS26" s="67">
        <v>3.2</v>
      </c>
      <c r="BT26" s="69">
        <v>896</v>
      </c>
      <c r="BU26" s="67">
        <v>5.42</v>
      </c>
      <c r="BV26" s="80">
        <v>165.31365313653137</v>
      </c>
      <c r="BW26" s="69">
        <v>352</v>
      </c>
      <c r="BX26" s="69">
        <v>1.5E-3</v>
      </c>
      <c r="BZ26" s="67">
        <v>12</v>
      </c>
      <c r="CA26" s="67">
        <v>1</v>
      </c>
      <c r="CB26" s="69">
        <v>12</v>
      </c>
      <c r="CC26" s="80">
        <v>160.47761194029852</v>
      </c>
      <c r="CD26" s="80">
        <v>317.11946571938921</v>
      </c>
      <c r="CJ26" s="86">
        <v>7.8848000000000003</v>
      </c>
      <c r="CK26" s="86">
        <v>0</v>
      </c>
      <c r="CL26" s="86">
        <v>4.6592000000000002</v>
      </c>
      <c r="CM26" s="86">
        <v>11.827200000000001</v>
      </c>
      <c r="CN26" s="86">
        <v>7.3472000000000008</v>
      </c>
      <c r="CO26" s="86">
        <v>1.0752000000000002</v>
      </c>
      <c r="CP26" s="86">
        <v>0</v>
      </c>
      <c r="CQ26" s="86">
        <v>0</v>
      </c>
      <c r="CR26" s="86">
        <v>4.6592000000000002</v>
      </c>
      <c r="CS26" s="87">
        <v>0.55899701492537324</v>
      </c>
    </row>
    <row r="27" spans="1:97">
      <c r="A27" s="5">
        <v>54</v>
      </c>
      <c r="B27" s="94" t="s">
        <v>258</v>
      </c>
      <c r="C27" s="94" t="s">
        <v>257</v>
      </c>
      <c r="D27" s="138" t="s">
        <v>259</v>
      </c>
      <c r="E27" s="106" t="s">
        <v>283</v>
      </c>
      <c r="F27" s="95">
        <v>240</v>
      </c>
      <c r="H27" s="95">
        <v>10.77</v>
      </c>
      <c r="J27" s="95">
        <v>2650</v>
      </c>
      <c r="N27" s="100">
        <v>1.0275E-3</v>
      </c>
      <c r="V27" s="95">
        <v>8.4700000000000006</v>
      </c>
      <c r="W27" s="95">
        <v>770</v>
      </c>
      <c r="X27" s="95"/>
      <c r="Y27" s="95"/>
      <c r="AE27" s="95">
        <v>272</v>
      </c>
      <c r="AJ27" s="95">
        <v>12</v>
      </c>
      <c r="AK27" s="69">
        <v>10.763999999999999</v>
      </c>
      <c r="AL27" s="69">
        <v>1.2360000000000007</v>
      </c>
      <c r="AM27" s="85">
        <v>0.89699999999999991</v>
      </c>
      <c r="AN27" s="95">
        <v>357</v>
      </c>
      <c r="AO27" s="95">
        <v>151</v>
      </c>
      <c r="AP27" s="95">
        <v>110</v>
      </c>
      <c r="AQ27" s="96">
        <v>5.9297700000000004</v>
      </c>
      <c r="AR27" s="96">
        <v>4.0895061728395063</v>
      </c>
      <c r="AS27" s="99">
        <v>0.68965679492450904</v>
      </c>
      <c r="AT27" s="96">
        <v>1.8402638271604941</v>
      </c>
      <c r="AU27" s="94" t="s">
        <v>83</v>
      </c>
      <c r="BH27" s="3">
        <v>2</v>
      </c>
      <c r="BI27" s="3">
        <v>3</v>
      </c>
      <c r="BJ27" s="94" t="s">
        <v>260</v>
      </c>
      <c r="BK27" s="3">
        <v>12</v>
      </c>
      <c r="BL27" s="97" t="s">
        <v>102</v>
      </c>
      <c r="BM27" s="97" t="s">
        <v>44</v>
      </c>
      <c r="BO27" s="19" t="s">
        <v>40</v>
      </c>
      <c r="BP27" s="98" t="s">
        <v>41</v>
      </c>
      <c r="BR27" s="3">
        <v>64.599999999999994</v>
      </c>
      <c r="BS27" s="3">
        <v>3.66</v>
      </c>
      <c r="BT27" s="3">
        <v>236.43599999999998</v>
      </c>
      <c r="BU27" s="3">
        <v>0.89700000000000002</v>
      </c>
      <c r="BV27" s="3">
        <v>259</v>
      </c>
      <c r="BW27" s="3">
        <v>648</v>
      </c>
      <c r="BX27" s="69">
        <v>1.3699999999999999E-3</v>
      </c>
      <c r="BZ27" s="3">
        <v>3</v>
      </c>
      <c r="CA27" s="3">
        <v>4</v>
      </c>
      <c r="CB27" s="3">
        <v>12</v>
      </c>
      <c r="CC27" s="80">
        <v>220.83333333333334</v>
      </c>
      <c r="CD27" s="80">
        <v>446.89760311108182</v>
      </c>
      <c r="CE27" s="80">
        <v>705.83333333333337</v>
      </c>
      <c r="CH27" s="80">
        <v>1428.3859239059861</v>
      </c>
      <c r="CJ27" s="86">
        <v>1.325</v>
      </c>
      <c r="CK27" s="86">
        <v>0.48583333333333328</v>
      </c>
      <c r="CL27" s="86">
        <v>0.83916666666666662</v>
      </c>
      <c r="CM27" s="86">
        <v>2.2083333333333335</v>
      </c>
      <c r="CN27" s="86">
        <v>0</v>
      </c>
      <c r="CO27" s="86">
        <v>0.26500000000000001</v>
      </c>
      <c r="CP27" s="86">
        <v>0.21347074999999999</v>
      </c>
      <c r="CQ27" s="86">
        <v>1.5647764166666667</v>
      </c>
      <c r="CR27" s="86">
        <v>0.8833333333333333</v>
      </c>
      <c r="CS27" s="87">
        <v>0.64874281944444434</v>
      </c>
    </row>
    <row r="28" spans="1:97">
      <c r="A28" s="5">
        <v>40</v>
      </c>
      <c r="B28" s="94" t="s">
        <v>263</v>
      </c>
      <c r="C28" s="101" t="s">
        <v>63</v>
      </c>
      <c r="D28" s="103" t="s">
        <v>268</v>
      </c>
      <c r="F28" s="3">
        <v>174</v>
      </c>
      <c r="G28" s="3">
        <v>17.399999999999999</v>
      </c>
      <c r="H28" s="3">
        <v>14.68</v>
      </c>
      <c r="I28" s="3">
        <v>11</v>
      </c>
      <c r="J28" s="80">
        <v>2554.3200000000002</v>
      </c>
      <c r="L28" s="4">
        <v>0.95</v>
      </c>
      <c r="M28" s="4">
        <v>0.05</v>
      </c>
      <c r="N28">
        <v>4.4999999999999997E-3</v>
      </c>
      <c r="AJ28" s="3">
        <v>12</v>
      </c>
      <c r="AN28" s="3">
        <v>355</v>
      </c>
      <c r="AO28" s="3">
        <v>151</v>
      </c>
      <c r="AP28" s="3">
        <v>108</v>
      </c>
      <c r="AQ28" s="3">
        <v>5.7893400000000002</v>
      </c>
      <c r="AY28" s="3">
        <v>-20</v>
      </c>
      <c r="AZ28" s="3">
        <v>55</v>
      </c>
      <c r="BA28" s="3">
        <v>-30</v>
      </c>
      <c r="BB28" s="3">
        <v>55</v>
      </c>
      <c r="BH28" s="3">
        <v>2</v>
      </c>
      <c r="BI28" s="3">
        <v>4</v>
      </c>
      <c r="BJ28" s="101" t="s">
        <v>269</v>
      </c>
      <c r="BK28" s="3">
        <v>12</v>
      </c>
      <c r="BL28" s="102" t="s">
        <v>63</v>
      </c>
      <c r="BO28" s="103" t="s">
        <v>53</v>
      </c>
      <c r="BZ28" s="3">
        <v>4</v>
      </c>
      <c r="CA28" s="3">
        <v>3</v>
      </c>
      <c r="CB28" s="3">
        <v>12</v>
      </c>
      <c r="CC28" s="80">
        <v>212.86</v>
      </c>
      <c r="CD28" s="80">
        <v>441.21091523386087</v>
      </c>
      <c r="CJ28" s="86">
        <v>1.8731679999999999</v>
      </c>
      <c r="CK28" s="86">
        <v>0</v>
      </c>
      <c r="CL28" s="86">
        <v>1.1068720000000001</v>
      </c>
      <c r="CM28" s="86">
        <v>2.8097520000000005</v>
      </c>
      <c r="CN28" s="86">
        <v>1.7454520000000002</v>
      </c>
      <c r="CO28" s="86">
        <v>0.25543200000000005</v>
      </c>
      <c r="CP28" s="86">
        <v>0</v>
      </c>
      <c r="CQ28" s="86">
        <v>0</v>
      </c>
      <c r="CR28" s="86">
        <v>1.1068720000000001</v>
      </c>
      <c r="CS28" s="87">
        <v>0.74146233333333333</v>
      </c>
    </row>
    <row r="29" spans="1:97">
      <c r="A29" s="5">
        <v>35</v>
      </c>
      <c r="B29" s="94" t="s">
        <v>264</v>
      </c>
      <c r="C29" s="111" t="s">
        <v>276</v>
      </c>
      <c r="D29" s="109" t="s">
        <v>278</v>
      </c>
      <c r="E29" s="106" t="s">
        <v>283</v>
      </c>
      <c r="F29" s="67">
        <v>114</v>
      </c>
      <c r="G29" s="67">
        <v>26.4</v>
      </c>
      <c r="H29" s="67">
        <v>22.44</v>
      </c>
      <c r="I29" s="67">
        <v>16.8</v>
      </c>
      <c r="J29" s="67">
        <v>2558</v>
      </c>
      <c r="L29" s="105">
        <v>0.97</v>
      </c>
      <c r="M29" s="105">
        <v>0</v>
      </c>
      <c r="W29" s="67">
        <v>342</v>
      </c>
      <c r="X29" s="67"/>
      <c r="Y29" s="67"/>
      <c r="AA29" s="67">
        <v>114</v>
      </c>
      <c r="AE29" s="67">
        <v>114</v>
      </c>
      <c r="AJ29" s="67">
        <v>12.1</v>
      </c>
      <c r="AN29" s="67">
        <v>355</v>
      </c>
      <c r="AO29" s="67">
        <v>151.5</v>
      </c>
      <c r="AP29" s="67">
        <v>108.5</v>
      </c>
      <c r="AQ29" s="81">
        <v>5.8354012500000003</v>
      </c>
      <c r="BO29" s="67" t="s">
        <v>52</v>
      </c>
      <c r="BP29" s="67" t="s">
        <v>35</v>
      </c>
      <c r="BZ29" s="67">
        <v>6</v>
      </c>
      <c r="CA29" s="67">
        <v>1</v>
      </c>
      <c r="CB29" s="69">
        <v>6</v>
      </c>
      <c r="CC29" s="80">
        <v>211.40495867768595</v>
      </c>
      <c r="CD29" s="80">
        <v>438.35888748867097</v>
      </c>
      <c r="CJ29" s="86">
        <v>1.3926888888888886</v>
      </c>
      <c r="CK29" s="86">
        <v>0.38369999999999999</v>
      </c>
      <c r="CL29" s="86">
        <v>0.83845555555555551</v>
      </c>
      <c r="CM29" s="86">
        <v>2.1032444444444445</v>
      </c>
      <c r="CN29" s="86">
        <v>0</v>
      </c>
      <c r="CO29" s="86">
        <v>0.25579999999999997</v>
      </c>
      <c r="CP29" s="86">
        <v>0.44054444444444441</v>
      </c>
      <c r="CQ29" s="86">
        <v>1.4069</v>
      </c>
      <c r="CR29" s="86">
        <v>0.83845555555555551</v>
      </c>
      <c r="CS29" s="87">
        <v>0.63304040404040407</v>
      </c>
    </row>
    <row r="30" spans="1:97">
      <c r="A30" s="5">
        <v>36</v>
      </c>
      <c r="B30" s="94" t="s">
        <v>265</v>
      </c>
      <c r="C30" s="104" t="s">
        <v>276</v>
      </c>
      <c r="D30" s="109" t="s">
        <v>279</v>
      </c>
      <c r="E30" s="106" t="s">
        <v>283</v>
      </c>
      <c r="F30" s="67">
        <v>227</v>
      </c>
      <c r="G30" s="67">
        <v>34.799999999999997</v>
      </c>
      <c r="H30" s="67">
        <v>29.36</v>
      </c>
      <c r="I30" s="67">
        <v>22.4</v>
      </c>
      <c r="J30" s="67">
        <v>6640</v>
      </c>
      <c r="L30" s="105">
        <v>0.95</v>
      </c>
      <c r="M30" s="105">
        <v>0.03</v>
      </c>
      <c r="AA30" s="67">
        <v>227</v>
      </c>
      <c r="AE30" s="67">
        <v>227</v>
      </c>
      <c r="AJ30" s="67">
        <v>31.4</v>
      </c>
      <c r="AN30" s="67">
        <v>590</v>
      </c>
      <c r="AO30" s="67">
        <v>225.5</v>
      </c>
      <c r="AP30" s="67">
        <v>110</v>
      </c>
      <c r="AQ30" s="81">
        <v>14.63495</v>
      </c>
      <c r="AY30" s="3">
        <v>10</v>
      </c>
      <c r="AZ30" s="3">
        <v>45</v>
      </c>
      <c r="BO30" s="67" t="s">
        <v>52</v>
      </c>
      <c r="BP30" s="67" t="s">
        <v>35</v>
      </c>
      <c r="BZ30" s="67">
        <v>8</v>
      </c>
      <c r="CA30" s="67">
        <v>2</v>
      </c>
      <c r="CB30" s="69">
        <v>16</v>
      </c>
      <c r="CC30" s="80">
        <v>211.46496815286625</v>
      </c>
      <c r="CD30" s="80">
        <v>453.70841717942324</v>
      </c>
      <c r="CJ30" s="86">
        <v>3.6151111111111107</v>
      </c>
      <c r="CK30" s="86">
        <v>0.99599999999999989</v>
      </c>
      <c r="CL30" s="86">
        <v>2.1764444444444444</v>
      </c>
      <c r="CM30" s="86">
        <v>5.4595555555555562</v>
      </c>
      <c r="CN30" s="86">
        <v>0</v>
      </c>
      <c r="CO30" s="86">
        <v>0.66400000000000003</v>
      </c>
      <c r="CP30" s="86">
        <v>1.1435555555555554</v>
      </c>
      <c r="CQ30" s="86">
        <v>3.6520000000000001</v>
      </c>
      <c r="CR30" s="86">
        <v>2.1764444444444444</v>
      </c>
      <c r="CS30" s="87">
        <v>0.63322009907997179</v>
      </c>
    </row>
    <row r="31" spans="1:97">
      <c r="A31" s="5">
        <v>35</v>
      </c>
      <c r="B31" s="94" t="s">
        <v>266</v>
      </c>
      <c r="C31" s="104" t="s">
        <v>276</v>
      </c>
      <c r="D31" s="109" t="s">
        <v>280</v>
      </c>
      <c r="E31" s="106" t="s">
        <v>283</v>
      </c>
      <c r="F31" s="67">
        <v>116</v>
      </c>
      <c r="G31" s="67">
        <v>30.45</v>
      </c>
      <c r="H31" s="67">
        <v>25.69</v>
      </c>
      <c r="I31" s="67">
        <v>19.25</v>
      </c>
      <c r="J31" s="67">
        <v>2980</v>
      </c>
      <c r="L31" s="105">
        <v>0.97</v>
      </c>
      <c r="M31" s="105">
        <v>0.05</v>
      </c>
      <c r="W31" s="67">
        <v>232</v>
      </c>
      <c r="X31" s="67"/>
      <c r="Y31" s="67"/>
      <c r="AA31" s="67">
        <v>116</v>
      </c>
      <c r="AE31" s="67">
        <v>92.8</v>
      </c>
      <c r="AJ31" s="67">
        <v>14.5</v>
      </c>
      <c r="AN31" s="67">
        <v>424.5</v>
      </c>
      <c r="AO31" s="67">
        <v>154.6</v>
      </c>
      <c r="AP31" s="67">
        <v>114</v>
      </c>
      <c r="AQ31" s="81">
        <v>7.4815578</v>
      </c>
      <c r="BO31" s="67" t="s">
        <v>52</v>
      </c>
      <c r="BP31" s="67" t="s">
        <v>35</v>
      </c>
      <c r="BZ31" s="67">
        <v>7</v>
      </c>
      <c r="CA31" s="67">
        <v>2</v>
      </c>
      <c r="CB31" s="69">
        <v>14</v>
      </c>
      <c r="CC31" s="80">
        <v>205.51724137931035</v>
      </c>
      <c r="CD31" s="80">
        <v>398.31276849856056</v>
      </c>
      <c r="CJ31" s="86">
        <v>1.6224444444444444</v>
      </c>
      <c r="CK31" s="86">
        <v>0.44700000000000001</v>
      </c>
      <c r="CL31" s="86">
        <v>0.97677777777777774</v>
      </c>
      <c r="CM31" s="86">
        <v>2.4502222222222225</v>
      </c>
      <c r="CN31" s="86">
        <v>0</v>
      </c>
      <c r="CO31" s="86">
        <v>0.29799999999999999</v>
      </c>
      <c r="CP31" s="86">
        <v>0.51322222222222225</v>
      </c>
      <c r="CQ31" s="86">
        <v>1.639</v>
      </c>
      <c r="CR31" s="86">
        <v>0.97677777777777774</v>
      </c>
      <c r="CS31" s="87">
        <v>0.61540996168582374</v>
      </c>
    </row>
    <row r="32" spans="1:97">
      <c r="A32" s="5">
        <v>35</v>
      </c>
      <c r="B32" s="94" t="s">
        <v>267</v>
      </c>
      <c r="C32" s="104" t="s">
        <v>276</v>
      </c>
      <c r="D32" s="109" t="s">
        <v>281</v>
      </c>
      <c r="E32" s="106" t="s">
        <v>283</v>
      </c>
      <c r="F32" s="67">
        <v>51</v>
      </c>
      <c r="G32" s="67">
        <v>50.4</v>
      </c>
      <c r="H32" s="67">
        <v>43.44</v>
      </c>
      <c r="I32" s="67">
        <v>33.6</v>
      </c>
      <c r="J32" s="67">
        <v>2215</v>
      </c>
      <c r="L32" s="105">
        <v>0.95</v>
      </c>
      <c r="M32" s="105">
        <v>0.15</v>
      </c>
      <c r="W32" s="67">
        <v>416</v>
      </c>
      <c r="X32" s="67"/>
      <c r="Y32" s="67"/>
      <c r="AA32" s="67">
        <v>153</v>
      </c>
      <c r="AE32" s="67">
        <v>51</v>
      </c>
      <c r="AJ32" s="67">
        <v>11.5</v>
      </c>
      <c r="AN32" s="67">
        <v>355</v>
      </c>
      <c r="AO32" s="67">
        <v>151.5</v>
      </c>
      <c r="AP32" s="67">
        <v>108</v>
      </c>
      <c r="AQ32" s="81">
        <v>5.8085100000000001</v>
      </c>
      <c r="BO32" s="67" t="s">
        <v>52</v>
      </c>
      <c r="BP32" s="67" t="s">
        <v>35</v>
      </c>
      <c r="BZ32" s="67">
        <v>12</v>
      </c>
      <c r="CA32" s="67">
        <v>1</v>
      </c>
      <c r="CB32" s="69">
        <v>12</v>
      </c>
      <c r="CC32" s="80">
        <v>192.60869565217391</v>
      </c>
      <c r="CD32" s="80">
        <v>381.33703824216536</v>
      </c>
      <c r="CJ32" s="86">
        <v>1.2059444444444443</v>
      </c>
      <c r="CK32" s="86">
        <v>0.33224999999999999</v>
      </c>
      <c r="CL32" s="86">
        <v>0.72602777777777772</v>
      </c>
      <c r="CM32" s="86">
        <v>1.8212222222222223</v>
      </c>
      <c r="CN32" s="86">
        <v>0</v>
      </c>
      <c r="CO32" s="86">
        <v>0.2215</v>
      </c>
      <c r="CP32" s="86">
        <v>0.38147222222222221</v>
      </c>
      <c r="CQ32" s="86">
        <v>1.2182500000000001</v>
      </c>
      <c r="CR32" s="86">
        <v>0.72602777777777772</v>
      </c>
      <c r="CS32" s="87">
        <v>0.57675603864734304</v>
      </c>
    </row>
    <row r="33" spans="1:97">
      <c r="A33" s="5">
        <v>36</v>
      </c>
      <c r="B33" s="94" t="s">
        <v>282</v>
      </c>
      <c r="C33" s="104" t="s">
        <v>276</v>
      </c>
      <c r="D33" s="109" t="s">
        <v>284</v>
      </c>
      <c r="E33" s="106" t="s">
        <v>283</v>
      </c>
      <c r="F33" s="67">
        <v>102</v>
      </c>
      <c r="G33" s="67">
        <v>25.8</v>
      </c>
      <c r="H33" s="67">
        <v>22.2</v>
      </c>
      <c r="I33" s="67">
        <v>16.8</v>
      </c>
      <c r="J33" s="67">
        <v>2264</v>
      </c>
      <c r="L33" s="105">
        <v>0.9</v>
      </c>
      <c r="M33" s="105">
        <v>0.1</v>
      </c>
      <c r="W33" s="67">
        <v>306</v>
      </c>
      <c r="X33" s="67"/>
      <c r="Y33" s="67"/>
      <c r="AA33" s="67">
        <v>102</v>
      </c>
      <c r="AC33" s="67">
        <v>204</v>
      </c>
      <c r="AE33" s="67">
        <v>102</v>
      </c>
      <c r="AJ33" s="67">
        <v>11.2</v>
      </c>
      <c r="AN33" s="67">
        <v>355</v>
      </c>
      <c r="AO33" s="67">
        <v>151.5</v>
      </c>
      <c r="AP33" s="67">
        <v>108.5</v>
      </c>
      <c r="AQ33" s="81">
        <v>5.8354012500000003</v>
      </c>
      <c r="BO33" s="67" t="s">
        <v>52</v>
      </c>
      <c r="BP33" s="67" t="s">
        <v>35</v>
      </c>
      <c r="BZ33" s="67">
        <v>6</v>
      </c>
      <c r="CA33" s="67">
        <v>1</v>
      </c>
      <c r="CB33" s="69">
        <v>6</v>
      </c>
      <c r="CC33" s="80">
        <v>202.14285714285717</v>
      </c>
      <c r="CD33" s="80">
        <v>387.97674795713488</v>
      </c>
      <c r="CJ33" s="86">
        <v>1.2326222222222221</v>
      </c>
      <c r="CK33" s="86">
        <v>0.33959999999999996</v>
      </c>
      <c r="CL33" s="86">
        <v>0.7420888888888888</v>
      </c>
      <c r="CM33" s="86">
        <v>1.8615111111111111</v>
      </c>
      <c r="CN33" s="86">
        <v>0</v>
      </c>
      <c r="CO33" s="86">
        <v>0.22639999999999999</v>
      </c>
      <c r="CP33" s="86">
        <v>0.3899111111111111</v>
      </c>
      <c r="CQ33" s="86">
        <v>1.2452000000000001</v>
      </c>
      <c r="CR33" s="86">
        <v>0.7420888888888888</v>
      </c>
      <c r="CS33" s="87">
        <v>0.60530555555555554</v>
      </c>
    </row>
    <row r="34" spans="1:97">
      <c r="A34" s="5">
        <v>50</v>
      </c>
      <c r="B34" s="94" t="s">
        <v>286</v>
      </c>
      <c r="C34" s="104" t="s">
        <v>276</v>
      </c>
      <c r="D34" s="109" t="s">
        <v>285</v>
      </c>
      <c r="E34" s="3" t="s">
        <v>287</v>
      </c>
      <c r="F34" s="67">
        <v>135</v>
      </c>
      <c r="G34" s="67">
        <v>10</v>
      </c>
      <c r="H34" s="67">
        <v>12.8</v>
      </c>
      <c r="I34" s="67">
        <v>14.6</v>
      </c>
      <c r="J34" s="67">
        <v>1728</v>
      </c>
      <c r="L34" s="105">
        <v>0.9</v>
      </c>
      <c r="M34" s="105">
        <v>0.1</v>
      </c>
      <c r="W34" s="67">
        <v>405</v>
      </c>
      <c r="X34" s="67"/>
      <c r="Y34" s="67"/>
      <c r="AA34" s="67">
        <v>270</v>
      </c>
      <c r="AC34" s="67">
        <v>270</v>
      </c>
      <c r="AE34" s="67">
        <v>187.2</v>
      </c>
      <c r="AJ34" s="67">
        <v>11.6</v>
      </c>
      <c r="AK34" s="69">
        <v>10.52</v>
      </c>
      <c r="AL34" s="69">
        <v>1.08</v>
      </c>
      <c r="AM34" s="85">
        <v>0.90689655172413797</v>
      </c>
      <c r="AN34" s="67">
        <v>355</v>
      </c>
      <c r="AO34" s="67">
        <v>152</v>
      </c>
      <c r="AP34" s="67">
        <v>108.5</v>
      </c>
      <c r="AQ34" s="81">
        <v>5.85466</v>
      </c>
      <c r="AR34" s="107">
        <v>4.8539325842696632</v>
      </c>
      <c r="AS34" s="108">
        <v>0.82907164280584411</v>
      </c>
      <c r="AT34" s="107">
        <v>1.0007274157303367</v>
      </c>
      <c r="BL34" s="68" t="s">
        <v>276</v>
      </c>
      <c r="BN34" s="3" t="s">
        <v>272</v>
      </c>
      <c r="BO34" s="67" t="s">
        <v>53</v>
      </c>
      <c r="BP34" s="67" t="s">
        <v>35</v>
      </c>
      <c r="BR34" s="67">
        <v>135</v>
      </c>
      <c r="BS34" s="67">
        <v>3.2</v>
      </c>
      <c r="BT34" s="69">
        <v>432</v>
      </c>
      <c r="BU34" s="67">
        <v>2.63</v>
      </c>
      <c r="BV34" s="80">
        <v>164.25855513307985</v>
      </c>
      <c r="BW34" s="69">
        <v>356</v>
      </c>
      <c r="BZ34" s="67">
        <v>4</v>
      </c>
      <c r="CA34" s="67">
        <v>1</v>
      </c>
      <c r="CB34" s="69">
        <v>4</v>
      </c>
      <c r="CC34" s="80">
        <v>148.9655172413793</v>
      </c>
      <c r="CD34" s="80">
        <v>295.14950483888049</v>
      </c>
      <c r="CJ34" s="86">
        <v>1.2671999999999999</v>
      </c>
      <c r="CK34" s="86">
        <v>0</v>
      </c>
      <c r="CL34" s="86">
        <v>0.74880000000000002</v>
      </c>
      <c r="CM34" s="86">
        <v>1.9008</v>
      </c>
      <c r="CN34" s="86">
        <v>1.1808000000000001</v>
      </c>
      <c r="CO34" s="86">
        <v>0.17280000000000001</v>
      </c>
      <c r="CP34" s="86">
        <v>0</v>
      </c>
      <c r="CQ34" s="86">
        <v>0</v>
      </c>
      <c r="CR34" s="86">
        <v>0.74880000000000002</v>
      </c>
      <c r="CS34" s="87">
        <v>0.51889655172413796</v>
      </c>
    </row>
    <row r="35" spans="1:97">
      <c r="A35" s="5">
        <v>57</v>
      </c>
      <c r="B35" s="94" t="s">
        <v>289</v>
      </c>
      <c r="C35" s="104" t="s">
        <v>276</v>
      </c>
      <c r="D35" s="109" t="s">
        <v>288</v>
      </c>
      <c r="E35" s="106" t="s">
        <v>283</v>
      </c>
      <c r="F35" s="67">
        <v>177</v>
      </c>
      <c r="G35" s="67">
        <v>17.399999999999999</v>
      </c>
      <c r="H35" s="67">
        <v>14.64</v>
      </c>
      <c r="I35" s="67">
        <v>11.2</v>
      </c>
      <c r="J35" s="67">
        <v>2591</v>
      </c>
      <c r="L35" s="105">
        <v>0.9</v>
      </c>
      <c r="M35" s="105">
        <v>0.1</v>
      </c>
      <c r="W35" s="67">
        <v>465</v>
      </c>
      <c r="X35" s="67"/>
      <c r="Y35" s="67"/>
      <c r="AA35" s="67">
        <v>348</v>
      </c>
      <c r="AC35" s="67">
        <v>310</v>
      </c>
      <c r="AE35" s="67">
        <v>211.3</v>
      </c>
      <c r="AJ35" s="67">
        <v>11.9</v>
      </c>
      <c r="AK35" s="69">
        <v>10.8</v>
      </c>
      <c r="AL35" s="69">
        <v>1.0999999999999996</v>
      </c>
      <c r="AM35" s="85">
        <v>0.90756302521008403</v>
      </c>
      <c r="AN35" s="67">
        <v>355</v>
      </c>
      <c r="AO35" s="67">
        <v>152</v>
      </c>
      <c r="AP35" s="67">
        <v>108.5</v>
      </c>
      <c r="AQ35" s="81">
        <v>5.85466</v>
      </c>
      <c r="AR35" s="107">
        <v>4.7628676470588234</v>
      </c>
      <c r="AS35" s="108">
        <v>0.8135173771079488</v>
      </c>
      <c r="AT35" s="107">
        <v>1.0917923529411766</v>
      </c>
      <c r="AY35" s="67">
        <v>-20</v>
      </c>
      <c r="AZ35" s="67">
        <v>55</v>
      </c>
      <c r="BA35" s="67">
        <v>-30</v>
      </c>
      <c r="BB35" s="67">
        <v>55</v>
      </c>
      <c r="BE35" s="67">
        <v>-30</v>
      </c>
      <c r="BF35" s="67">
        <v>55</v>
      </c>
      <c r="BH35" s="3">
        <v>2</v>
      </c>
      <c r="BL35" s="68" t="s">
        <v>276</v>
      </c>
      <c r="BN35" s="106" t="s">
        <v>275</v>
      </c>
      <c r="BO35" s="109" t="s">
        <v>85</v>
      </c>
      <c r="BP35" s="67" t="s">
        <v>35</v>
      </c>
      <c r="BR35" s="67">
        <v>177</v>
      </c>
      <c r="BS35" s="67">
        <v>3.73</v>
      </c>
      <c r="BT35" s="69">
        <v>660.21</v>
      </c>
      <c r="BU35" s="67">
        <v>2.7</v>
      </c>
      <c r="BV35" s="80">
        <v>244.52222222222221</v>
      </c>
      <c r="BW35" s="69">
        <v>544</v>
      </c>
      <c r="BZ35" s="67">
        <v>4</v>
      </c>
      <c r="CA35" s="67">
        <v>1</v>
      </c>
      <c r="CB35" s="69">
        <v>4</v>
      </c>
      <c r="CC35" s="80">
        <v>217.73109243697479</v>
      </c>
      <c r="CD35" s="80">
        <v>442.55345314672417</v>
      </c>
      <c r="CJ35" s="86">
        <v>1.5114166666666669</v>
      </c>
      <c r="CK35" s="86">
        <v>0.47501666666666664</v>
      </c>
      <c r="CL35" s="86">
        <v>0.86366666666666669</v>
      </c>
      <c r="CM35" s="86">
        <v>2.2887166666666667</v>
      </c>
      <c r="CN35" s="86">
        <v>0</v>
      </c>
      <c r="CO35" s="86">
        <v>0.30228333333333335</v>
      </c>
      <c r="CP35" s="86">
        <v>0.6909333333333334</v>
      </c>
      <c r="CQ35" s="86">
        <v>1.2091333333333334</v>
      </c>
      <c r="CR35" s="86">
        <v>0.86366666666666669</v>
      </c>
      <c r="CS35" s="87">
        <v>0.68948179271708698</v>
      </c>
    </row>
    <row r="36" spans="1:97">
      <c r="A36" s="5">
        <v>57</v>
      </c>
      <c r="B36" s="94" t="s">
        <v>290</v>
      </c>
      <c r="C36" s="104" t="s">
        <v>276</v>
      </c>
      <c r="D36" s="109" t="s">
        <v>291</v>
      </c>
      <c r="E36" s="106" t="s">
        <v>287</v>
      </c>
      <c r="F36" s="67">
        <v>302</v>
      </c>
      <c r="G36" s="67">
        <v>20</v>
      </c>
      <c r="H36" s="67">
        <v>25.6</v>
      </c>
      <c r="I36" s="67">
        <v>29.2</v>
      </c>
      <c r="J36" s="67">
        <v>7731</v>
      </c>
      <c r="L36" s="105">
        <v>0.9</v>
      </c>
      <c r="M36" s="105">
        <v>0.1</v>
      </c>
      <c r="W36" s="67">
        <v>480</v>
      </c>
      <c r="X36" s="67"/>
      <c r="Y36" s="67"/>
      <c r="AA36" s="67">
        <v>302</v>
      </c>
      <c r="AC36" s="67">
        <v>480</v>
      </c>
      <c r="AE36" s="67">
        <v>302</v>
      </c>
      <c r="AJ36" s="67">
        <v>46</v>
      </c>
      <c r="AK36" s="69">
        <v>43.2</v>
      </c>
      <c r="AL36" s="69">
        <v>2.7999999999999972</v>
      </c>
      <c r="AM36" s="85">
        <v>0.93913043478260871</v>
      </c>
      <c r="AN36" s="67">
        <v>624.4</v>
      </c>
      <c r="AO36" s="67">
        <v>177</v>
      </c>
      <c r="AP36" s="67">
        <v>220</v>
      </c>
      <c r="AQ36" s="81">
        <v>24.314136000000001</v>
      </c>
      <c r="AR36" s="107">
        <v>20.344736842105263</v>
      </c>
      <c r="AS36" s="108">
        <v>0.83674521036261629</v>
      </c>
      <c r="AT36" s="107">
        <v>3.9693991578947383</v>
      </c>
      <c r="AY36" s="67">
        <v>0</v>
      </c>
      <c r="AZ36" s="67">
        <v>55</v>
      </c>
      <c r="BA36" s="67">
        <v>-20</v>
      </c>
      <c r="BB36" s="67">
        <v>55</v>
      </c>
      <c r="BE36" s="67">
        <v>-30</v>
      </c>
      <c r="BF36" s="67">
        <v>55</v>
      </c>
      <c r="BH36" s="3">
        <v>2</v>
      </c>
      <c r="BL36" s="68" t="s">
        <v>276</v>
      </c>
      <c r="BN36" s="106" t="s">
        <v>274</v>
      </c>
      <c r="BO36" s="109" t="s">
        <v>53</v>
      </c>
      <c r="BP36" s="67" t="s">
        <v>35</v>
      </c>
      <c r="BR36" s="67">
        <v>302</v>
      </c>
      <c r="BS36" s="67">
        <v>3.2</v>
      </c>
      <c r="BT36" s="69">
        <v>966.40000000000009</v>
      </c>
      <c r="BU36" s="67">
        <v>5.4</v>
      </c>
      <c r="BV36" s="80">
        <v>178.96296296296296</v>
      </c>
      <c r="BW36" s="69">
        <v>380</v>
      </c>
      <c r="BZ36" s="67">
        <v>8</v>
      </c>
      <c r="CA36" s="67">
        <v>1</v>
      </c>
      <c r="CB36" s="69">
        <v>8</v>
      </c>
      <c r="CC36" s="80">
        <v>168.06521739130434</v>
      </c>
      <c r="CD36" s="80">
        <v>317.96317993779417</v>
      </c>
      <c r="CJ36" s="86">
        <v>5.6693999999999996</v>
      </c>
      <c r="CK36" s="86">
        <v>0</v>
      </c>
      <c r="CL36" s="86">
        <v>3.3500999999999999</v>
      </c>
      <c r="CM36" s="86">
        <v>8.5041000000000011</v>
      </c>
      <c r="CN36" s="86">
        <v>5.2828499999999998</v>
      </c>
      <c r="CO36" s="86">
        <v>0.77310000000000001</v>
      </c>
      <c r="CP36" s="86">
        <v>0</v>
      </c>
      <c r="CQ36" s="86">
        <v>0</v>
      </c>
      <c r="CR36" s="86">
        <v>3.3500999999999999</v>
      </c>
      <c r="CS36" s="87">
        <v>0.58542717391304355</v>
      </c>
    </row>
    <row r="37" spans="1:97">
      <c r="A37" s="5">
        <v>57</v>
      </c>
      <c r="B37" s="94" t="s">
        <v>292</v>
      </c>
      <c r="C37" s="104" t="s">
        <v>276</v>
      </c>
      <c r="D37" s="109" t="s">
        <v>296</v>
      </c>
      <c r="E37" s="106" t="s">
        <v>287</v>
      </c>
      <c r="F37" s="67">
        <v>280</v>
      </c>
      <c r="G37" s="67">
        <v>20</v>
      </c>
      <c r="H37" s="67">
        <v>25.6</v>
      </c>
      <c r="I37" s="67">
        <v>29.2</v>
      </c>
      <c r="J37" s="67">
        <v>7168</v>
      </c>
      <c r="L37" s="105">
        <v>0.9</v>
      </c>
      <c r="M37" s="105">
        <v>0.1</v>
      </c>
      <c r="W37" s="67">
        <v>560</v>
      </c>
      <c r="X37" s="67"/>
      <c r="Y37" s="67"/>
      <c r="AA37" s="67">
        <v>280</v>
      </c>
      <c r="AC37" s="67">
        <v>560</v>
      </c>
      <c r="AE37" s="67">
        <v>280</v>
      </c>
      <c r="AJ37" s="67">
        <v>45.1</v>
      </c>
      <c r="AK37" s="69">
        <v>42.16</v>
      </c>
      <c r="AL37" s="69">
        <v>2.9400000000000048</v>
      </c>
      <c r="AM37" s="85">
        <v>0.93481152993348104</v>
      </c>
      <c r="AN37" s="67">
        <v>622.9</v>
      </c>
      <c r="AO37" s="67">
        <v>177</v>
      </c>
      <c r="AP37" s="67">
        <v>220</v>
      </c>
      <c r="AQ37" s="81">
        <v>24.255725999999999</v>
      </c>
      <c r="AR37" s="107">
        <v>19.966573816155989</v>
      </c>
      <c r="AS37" s="108">
        <v>0.8231694988703282</v>
      </c>
      <c r="AT37" s="107">
        <v>4.2891521838440099</v>
      </c>
      <c r="AY37" s="67">
        <v>0</v>
      </c>
      <c r="AZ37" s="67">
        <v>55</v>
      </c>
      <c r="BA37" s="67">
        <v>-20</v>
      </c>
      <c r="BB37" s="67">
        <v>55</v>
      </c>
      <c r="BE37" s="67">
        <v>-30</v>
      </c>
      <c r="BF37" s="67">
        <v>55</v>
      </c>
      <c r="BH37" s="3">
        <v>2</v>
      </c>
      <c r="BL37" s="68" t="s">
        <v>276</v>
      </c>
      <c r="BN37" s="106" t="s">
        <v>273</v>
      </c>
      <c r="BO37" s="109" t="s">
        <v>53</v>
      </c>
      <c r="BP37" s="67" t="s">
        <v>35</v>
      </c>
      <c r="BR37" s="67">
        <v>280</v>
      </c>
      <c r="BS37" s="67">
        <v>3.2</v>
      </c>
      <c r="BT37" s="69">
        <v>896</v>
      </c>
      <c r="BU37" s="67">
        <v>5.27</v>
      </c>
      <c r="BV37" s="80">
        <v>170.01897533206832</v>
      </c>
      <c r="BW37" s="69">
        <v>359</v>
      </c>
      <c r="BZ37" s="67">
        <v>8</v>
      </c>
      <c r="CA37" s="67">
        <v>1</v>
      </c>
      <c r="CB37" s="69">
        <v>8</v>
      </c>
      <c r="CC37" s="80">
        <v>158.93569844789357</v>
      </c>
      <c r="CD37" s="80">
        <v>295.51785009444779</v>
      </c>
      <c r="CJ37" s="86">
        <v>5.2565333333333335</v>
      </c>
      <c r="CK37" s="86">
        <v>0</v>
      </c>
      <c r="CL37" s="86">
        <v>3.1061333333333336</v>
      </c>
      <c r="CM37" s="86">
        <v>7.8848000000000011</v>
      </c>
      <c r="CN37" s="86">
        <v>4.8981333333333339</v>
      </c>
      <c r="CO37" s="86">
        <v>0.7168000000000001</v>
      </c>
      <c r="CP37" s="86">
        <v>0</v>
      </c>
      <c r="CQ37" s="86">
        <v>0</v>
      </c>
      <c r="CR37" s="86">
        <v>3.1061333333333336</v>
      </c>
      <c r="CS37" s="87">
        <v>0.55362601626016261</v>
      </c>
    </row>
    <row r="38" spans="1:97">
      <c r="A38" s="5">
        <v>56</v>
      </c>
      <c r="B38" s="94" t="s">
        <v>293</v>
      </c>
      <c r="C38" s="104" t="s">
        <v>276</v>
      </c>
      <c r="D38" s="109" t="s">
        <v>297</v>
      </c>
      <c r="E38" s="106" t="s">
        <v>287</v>
      </c>
      <c r="F38" s="67">
        <v>100</v>
      </c>
      <c r="G38" s="67">
        <v>20</v>
      </c>
      <c r="H38" s="67">
        <v>25.6</v>
      </c>
      <c r="I38" s="67">
        <v>29.2</v>
      </c>
      <c r="J38" s="67">
        <v>2560</v>
      </c>
      <c r="L38" s="105">
        <v>0.9</v>
      </c>
      <c r="M38" s="105">
        <v>0.1</v>
      </c>
      <c r="W38" s="67">
        <v>200</v>
      </c>
      <c r="X38" s="67"/>
      <c r="Y38" s="67"/>
      <c r="AA38" s="67">
        <v>100</v>
      </c>
      <c r="AC38" s="67">
        <v>200</v>
      </c>
      <c r="AE38" s="67">
        <v>100</v>
      </c>
      <c r="AJ38" s="67">
        <v>19.739999999999998</v>
      </c>
      <c r="AK38" s="69">
        <v>17.04</v>
      </c>
      <c r="AL38" s="69">
        <v>2.6999999999999993</v>
      </c>
      <c r="AM38" s="85">
        <v>0.86322188449848025</v>
      </c>
      <c r="AN38" s="67">
        <v>273.5</v>
      </c>
      <c r="AO38" s="67">
        <v>177</v>
      </c>
      <c r="AP38" s="67">
        <v>220</v>
      </c>
      <c r="AQ38" s="81">
        <v>10.650090000000001</v>
      </c>
      <c r="AR38" s="107">
        <v>7.8769230769230774</v>
      </c>
      <c r="AS38" s="108">
        <v>0.73961094008811912</v>
      </c>
      <c r="AT38" s="107">
        <v>2.7731669230769231</v>
      </c>
      <c r="AY38" s="67">
        <v>0</v>
      </c>
      <c r="AZ38" s="67">
        <v>55</v>
      </c>
      <c r="BA38" s="67">
        <v>-20</v>
      </c>
      <c r="BB38" s="67">
        <v>55</v>
      </c>
      <c r="BE38" s="67">
        <v>-30</v>
      </c>
      <c r="BF38" s="67">
        <v>55</v>
      </c>
      <c r="BL38" s="68" t="s">
        <v>276</v>
      </c>
      <c r="BN38" s="106" t="s">
        <v>271</v>
      </c>
      <c r="BO38" s="109" t="s">
        <v>53</v>
      </c>
      <c r="BP38" s="67" t="s">
        <v>35</v>
      </c>
      <c r="BR38" s="67">
        <v>100</v>
      </c>
      <c r="BS38" s="67">
        <v>3.2</v>
      </c>
      <c r="BT38" s="69">
        <v>320</v>
      </c>
      <c r="BU38" s="67">
        <v>2.13</v>
      </c>
      <c r="BV38" s="80">
        <v>150.23474178403757</v>
      </c>
      <c r="BW38" s="69">
        <v>325</v>
      </c>
      <c r="BZ38" s="67">
        <v>8</v>
      </c>
      <c r="CA38" s="67">
        <v>1</v>
      </c>
      <c r="CB38" s="69">
        <v>8</v>
      </c>
      <c r="CC38" s="80">
        <v>129.68591691995948</v>
      </c>
      <c r="CD38" s="80">
        <v>240.37355552863872</v>
      </c>
      <c r="CJ38" s="86">
        <v>1.8773333333333333</v>
      </c>
      <c r="CK38" s="86">
        <v>0</v>
      </c>
      <c r="CL38" s="86">
        <v>1.1093333333333335</v>
      </c>
      <c r="CM38" s="86">
        <v>2.8160000000000003</v>
      </c>
      <c r="CN38" s="86">
        <v>1.7493333333333334</v>
      </c>
      <c r="CO38" s="86">
        <v>0.25600000000000001</v>
      </c>
      <c r="CP38" s="86">
        <v>0</v>
      </c>
      <c r="CQ38" s="86">
        <v>0</v>
      </c>
      <c r="CR38" s="86">
        <v>1.1093333333333335</v>
      </c>
      <c r="CS38" s="87">
        <v>0.45173927727119223</v>
      </c>
    </row>
    <row r="39" spans="1:97">
      <c r="A39" s="5">
        <v>57</v>
      </c>
      <c r="B39" s="94" t="s">
        <v>294</v>
      </c>
      <c r="C39" s="104" t="s">
        <v>276</v>
      </c>
      <c r="D39" s="109" t="s">
        <v>298</v>
      </c>
      <c r="E39" s="106" t="s">
        <v>287</v>
      </c>
      <c r="F39" s="67">
        <v>50</v>
      </c>
      <c r="G39" s="67">
        <v>20</v>
      </c>
      <c r="H39" s="67">
        <v>25.6</v>
      </c>
      <c r="I39" s="67">
        <v>29.2</v>
      </c>
      <c r="J39" s="67">
        <v>1280</v>
      </c>
      <c r="L39" s="105">
        <v>0.9</v>
      </c>
      <c r="M39" s="105">
        <v>0.1</v>
      </c>
      <c r="W39" s="67">
        <v>100</v>
      </c>
      <c r="X39" s="67"/>
      <c r="Y39" s="67"/>
      <c r="AA39" s="67">
        <v>50</v>
      </c>
      <c r="AC39" s="67">
        <v>100</v>
      </c>
      <c r="AE39" s="67">
        <v>50</v>
      </c>
      <c r="AJ39" s="67">
        <v>10.44</v>
      </c>
      <c r="AK39" s="69">
        <v>9.44</v>
      </c>
      <c r="AL39" s="69">
        <v>1</v>
      </c>
      <c r="AM39" s="85">
        <v>0.90421455938697315</v>
      </c>
      <c r="AN39" s="67">
        <v>355.6</v>
      </c>
      <c r="AO39" s="67">
        <v>151</v>
      </c>
      <c r="AP39" s="67">
        <v>110</v>
      </c>
      <c r="AQ39" s="81">
        <v>5.9065160000000008</v>
      </c>
      <c r="AR39" s="107">
        <v>4.5229681978798588</v>
      </c>
      <c r="AS39" s="108">
        <v>0.76575906979340413</v>
      </c>
      <c r="AT39" s="107">
        <v>1.3835478021201419</v>
      </c>
      <c r="AY39" s="67">
        <v>0</v>
      </c>
      <c r="AZ39" s="67">
        <v>55</v>
      </c>
      <c r="BA39" s="67">
        <v>-20</v>
      </c>
      <c r="BB39" s="67">
        <v>55</v>
      </c>
      <c r="BE39" s="67">
        <v>-30</v>
      </c>
      <c r="BF39" s="67">
        <v>55</v>
      </c>
      <c r="BH39" s="3">
        <v>2</v>
      </c>
      <c r="BL39" s="68" t="s">
        <v>276</v>
      </c>
      <c r="BN39" s="106" t="s">
        <v>270</v>
      </c>
      <c r="BO39" s="109" t="s">
        <v>53</v>
      </c>
      <c r="BP39" s="67" t="s">
        <v>35</v>
      </c>
      <c r="BR39" s="67">
        <v>50</v>
      </c>
      <c r="BS39" s="67">
        <v>3.2</v>
      </c>
      <c r="BT39" s="69">
        <v>160</v>
      </c>
      <c r="BU39" s="67">
        <v>1.18</v>
      </c>
      <c r="BV39" s="80">
        <v>135.59322033898306</v>
      </c>
      <c r="BW39" s="69">
        <v>283</v>
      </c>
      <c r="BZ39" s="67">
        <v>8</v>
      </c>
      <c r="CA39" s="67">
        <v>1</v>
      </c>
      <c r="CB39" s="69">
        <v>8</v>
      </c>
      <c r="CC39" s="80">
        <v>122.60536398467434</v>
      </c>
      <c r="CD39" s="80">
        <v>216.70981675153337</v>
      </c>
      <c r="CJ39" s="86">
        <v>0.93866666666666665</v>
      </c>
      <c r="CK39" s="86">
        <v>0</v>
      </c>
      <c r="CL39" s="86">
        <v>0.55466666666666675</v>
      </c>
      <c r="CM39" s="86">
        <v>1.4080000000000001</v>
      </c>
      <c r="CN39" s="86">
        <v>0.8746666666666667</v>
      </c>
      <c r="CO39" s="86">
        <v>0.128</v>
      </c>
      <c r="CP39" s="86">
        <v>0</v>
      </c>
      <c r="CQ39" s="86">
        <v>0</v>
      </c>
      <c r="CR39" s="86">
        <v>0.55466666666666675</v>
      </c>
      <c r="CS39" s="87">
        <v>0.42707535121328227</v>
      </c>
    </row>
    <row r="40" spans="1:97">
      <c r="A40" s="5">
        <v>57</v>
      </c>
      <c r="B40" s="94" t="s">
        <v>295</v>
      </c>
      <c r="C40" s="104" t="s">
        <v>276</v>
      </c>
      <c r="D40" s="109" t="s">
        <v>299</v>
      </c>
      <c r="E40" s="106" t="s">
        <v>287</v>
      </c>
      <c r="F40" s="67">
        <v>230</v>
      </c>
      <c r="G40" s="67">
        <v>20</v>
      </c>
      <c r="H40" s="67">
        <v>25.6</v>
      </c>
      <c r="I40" s="67">
        <v>29.2</v>
      </c>
      <c r="J40" s="67">
        <v>5888</v>
      </c>
      <c r="L40" s="105">
        <v>0.9</v>
      </c>
      <c r="M40" s="105">
        <v>0.1</v>
      </c>
      <c r="W40" s="67">
        <v>460</v>
      </c>
      <c r="X40" s="67"/>
      <c r="Y40" s="67"/>
      <c r="AA40" s="67">
        <v>230</v>
      </c>
      <c r="AC40" s="67">
        <v>460</v>
      </c>
      <c r="AE40" s="67">
        <v>230</v>
      </c>
      <c r="AJ40" s="67">
        <v>35</v>
      </c>
      <c r="AK40" s="69">
        <v>32.72</v>
      </c>
      <c r="AL40" s="69">
        <v>2.2800000000000011</v>
      </c>
      <c r="AM40" s="85">
        <v>0.93485714285714283</v>
      </c>
      <c r="AN40" s="67">
        <v>480.9</v>
      </c>
      <c r="AO40" s="67">
        <v>177</v>
      </c>
      <c r="AP40" s="67">
        <v>220</v>
      </c>
      <c r="AQ40" s="81">
        <v>18.726246</v>
      </c>
      <c r="AR40" s="107">
        <v>15.293506493506493</v>
      </c>
      <c r="AS40" s="108">
        <v>0.8166883257598182</v>
      </c>
      <c r="AT40" s="107">
        <v>3.4327395064935065</v>
      </c>
      <c r="AY40" s="67">
        <v>0</v>
      </c>
      <c r="AZ40" s="67">
        <v>55</v>
      </c>
      <c r="BA40" s="67">
        <v>-20</v>
      </c>
      <c r="BB40" s="67">
        <v>55</v>
      </c>
      <c r="BE40" s="67">
        <v>-30</v>
      </c>
      <c r="BF40" s="67">
        <v>55</v>
      </c>
      <c r="BH40" s="3">
        <v>2</v>
      </c>
      <c r="BL40" s="68" t="s">
        <v>276</v>
      </c>
      <c r="BN40" s="106" t="s">
        <v>277</v>
      </c>
      <c r="BO40" s="109" t="s">
        <v>53</v>
      </c>
      <c r="BP40" s="67" t="s">
        <v>35</v>
      </c>
      <c r="BR40" s="67">
        <v>230</v>
      </c>
      <c r="BS40" s="67">
        <v>3.2</v>
      </c>
      <c r="BT40" s="69">
        <v>736</v>
      </c>
      <c r="BU40" s="67">
        <v>4.09</v>
      </c>
      <c r="BV40" s="80">
        <v>179.95110024449878</v>
      </c>
      <c r="BW40" s="69">
        <v>385</v>
      </c>
      <c r="BZ40" s="67">
        <v>8</v>
      </c>
      <c r="CA40" s="67">
        <v>1</v>
      </c>
      <c r="CB40" s="69">
        <v>8</v>
      </c>
      <c r="CC40" s="80">
        <v>168.22857142857143</v>
      </c>
      <c r="CD40" s="80">
        <v>314.42500541753003</v>
      </c>
      <c r="CJ40" s="86">
        <v>4.3178666666666663</v>
      </c>
      <c r="CK40" s="86">
        <v>0</v>
      </c>
      <c r="CL40" s="86">
        <v>2.5514666666666668</v>
      </c>
      <c r="CM40" s="86">
        <v>6.4768000000000008</v>
      </c>
      <c r="CN40" s="86">
        <v>4.0234666666666667</v>
      </c>
      <c r="CO40" s="86">
        <v>0.58879999999999999</v>
      </c>
      <c r="CP40" s="86">
        <v>0</v>
      </c>
      <c r="CQ40" s="86">
        <v>0</v>
      </c>
      <c r="CR40" s="86">
        <v>2.5514666666666668</v>
      </c>
      <c r="CS40" s="87">
        <v>0.58599619047619045</v>
      </c>
    </row>
    <row r="41" spans="1:97">
      <c r="A41" s="5">
        <v>33</v>
      </c>
      <c r="B41" s="94" t="s">
        <v>305</v>
      </c>
      <c r="C41" s="112" t="s">
        <v>102</v>
      </c>
      <c r="D41" s="139" t="s">
        <v>301</v>
      </c>
      <c r="E41" s="3" t="s">
        <v>283</v>
      </c>
      <c r="F41" s="67">
        <v>30.3</v>
      </c>
      <c r="G41" s="67">
        <v>49</v>
      </c>
      <c r="H41" s="67">
        <v>43.2</v>
      </c>
      <c r="I41" s="67">
        <v>30</v>
      </c>
      <c r="J41" s="80">
        <v>1308.96</v>
      </c>
      <c r="K41" s="67">
        <v>1300</v>
      </c>
      <c r="V41" s="67">
        <v>8.1999999999999993</v>
      </c>
      <c r="AD41" s="67">
        <v>9.6</v>
      </c>
      <c r="AJ41" s="67">
        <v>9</v>
      </c>
      <c r="AN41" s="67">
        <v>385.6</v>
      </c>
      <c r="AO41" s="67">
        <v>86</v>
      </c>
      <c r="AP41" s="67">
        <v>175.7</v>
      </c>
      <c r="AQ41" s="81">
        <v>5.8264931199999994</v>
      </c>
      <c r="AY41" s="67">
        <v>-30</v>
      </c>
      <c r="AZ41" s="67">
        <v>55</v>
      </c>
      <c r="BA41" s="67">
        <v>-30</v>
      </c>
      <c r="BB41" s="67">
        <v>55</v>
      </c>
      <c r="BE41" s="67">
        <v>-30</v>
      </c>
      <c r="BF41" s="67">
        <v>60</v>
      </c>
      <c r="BL41" s="68" t="s">
        <v>102</v>
      </c>
      <c r="BR41" s="69">
        <v>30.3</v>
      </c>
      <c r="BS41" s="69">
        <v>3.6</v>
      </c>
      <c r="BT41" s="113">
        <v>109.08</v>
      </c>
      <c r="BZ41" s="67">
        <v>12</v>
      </c>
      <c r="CA41" s="67">
        <v>1</v>
      </c>
      <c r="CB41" s="69">
        <v>12</v>
      </c>
      <c r="CC41" s="80">
        <v>145.44</v>
      </c>
      <c r="CD41" s="80">
        <v>224.65657695653474</v>
      </c>
      <c r="CE41" s="80">
        <v>911.11111111111109</v>
      </c>
      <c r="CH41" s="80">
        <v>1407.3645726711165</v>
      </c>
    </row>
    <row r="42" spans="1:97">
      <c r="A42" s="5">
        <v>57</v>
      </c>
      <c r="B42" s="94" t="s">
        <v>306</v>
      </c>
      <c r="C42" s="112" t="s">
        <v>102</v>
      </c>
      <c r="D42" s="139" t="s">
        <v>302</v>
      </c>
      <c r="E42" s="3" t="s">
        <v>283</v>
      </c>
      <c r="F42" s="67">
        <v>196.2</v>
      </c>
      <c r="G42" s="67">
        <v>17</v>
      </c>
      <c r="H42" s="67">
        <v>14.68</v>
      </c>
      <c r="I42" s="67">
        <v>12</v>
      </c>
      <c r="J42" s="80">
        <v>2880.2159999999999</v>
      </c>
      <c r="K42" s="67">
        <v>2880</v>
      </c>
      <c r="N42" s="83">
        <v>1.8933333333333335E-3</v>
      </c>
      <c r="V42" s="67">
        <v>12.8</v>
      </c>
      <c r="AD42" s="67">
        <v>5.0999999999999996</v>
      </c>
      <c r="AJ42" s="67">
        <v>13.5</v>
      </c>
      <c r="AK42" s="69">
        <v>10.8</v>
      </c>
      <c r="AL42" s="69">
        <v>2.6999999999999993</v>
      </c>
      <c r="AM42" s="85">
        <v>0.8</v>
      </c>
      <c r="AN42" s="67">
        <v>390</v>
      </c>
      <c r="AO42" s="67">
        <v>151.6</v>
      </c>
      <c r="AP42" s="67">
        <v>107.5</v>
      </c>
      <c r="AQ42" s="81">
        <v>6.3558300000000001</v>
      </c>
      <c r="AR42" s="107">
        <v>4.9917088388214905</v>
      </c>
      <c r="AS42" s="108">
        <v>0.78537481946834486</v>
      </c>
      <c r="AT42" s="107">
        <v>1.3641211611785096</v>
      </c>
      <c r="AY42" s="67">
        <v>-30</v>
      </c>
      <c r="AZ42" s="67">
        <v>55</v>
      </c>
      <c r="BA42" s="67">
        <v>-30</v>
      </c>
      <c r="BB42" s="67">
        <v>55</v>
      </c>
      <c r="BE42" s="67">
        <v>-30</v>
      </c>
      <c r="BF42" s="67">
        <v>60</v>
      </c>
      <c r="BL42" s="68" t="s">
        <v>102</v>
      </c>
      <c r="BN42" s="3" t="s">
        <v>146</v>
      </c>
      <c r="BO42" s="3" t="s">
        <v>52</v>
      </c>
      <c r="BP42" s="3" t="s">
        <v>41</v>
      </c>
      <c r="BR42" s="69">
        <v>65.399999999999991</v>
      </c>
      <c r="BS42" s="69">
        <v>3.67</v>
      </c>
      <c r="BT42" s="113">
        <v>240.01799999999997</v>
      </c>
      <c r="BU42" s="67">
        <v>0.9</v>
      </c>
      <c r="BV42" s="80">
        <v>266.68666666666661</v>
      </c>
      <c r="BW42" s="69">
        <v>577</v>
      </c>
      <c r="BX42" s="68">
        <v>1.42E-3</v>
      </c>
      <c r="BZ42" s="67">
        <v>4</v>
      </c>
      <c r="CA42" s="67">
        <v>3</v>
      </c>
      <c r="CB42" s="69">
        <v>12</v>
      </c>
      <c r="CC42" s="80">
        <v>213.34933333333333</v>
      </c>
      <c r="CD42" s="80">
        <v>453.16127083323499</v>
      </c>
      <c r="CE42" s="80">
        <v>948.14814814814815</v>
      </c>
      <c r="CH42" s="80">
        <v>2013.8990501633932</v>
      </c>
      <c r="CJ42" s="86">
        <v>1.5681175999999999</v>
      </c>
      <c r="CK42" s="86">
        <v>0.43203239999999998</v>
      </c>
      <c r="CL42" s="86">
        <v>0.94407079999999999</v>
      </c>
      <c r="CM42" s="86">
        <v>2.3681776000000001</v>
      </c>
      <c r="CN42" s="86">
        <v>0</v>
      </c>
      <c r="CO42" s="86">
        <v>0.28802159999999999</v>
      </c>
      <c r="CP42" s="86">
        <v>0.49603719999999996</v>
      </c>
      <c r="CQ42" s="86">
        <v>1.5841188000000002</v>
      </c>
      <c r="CR42" s="86">
        <v>0.94407079999999999</v>
      </c>
      <c r="CS42" s="87">
        <v>0.63886272592592597</v>
      </c>
    </row>
    <row r="43" spans="1:97">
      <c r="A43" s="5">
        <v>35</v>
      </c>
      <c r="B43" s="94" t="s">
        <v>307</v>
      </c>
      <c r="C43" s="112" t="s">
        <v>102</v>
      </c>
      <c r="D43" s="139" t="s">
        <v>303</v>
      </c>
      <c r="E43" s="3" t="s">
        <v>283</v>
      </c>
      <c r="F43" s="67">
        <v>118.6</v>
      </c>
      <c r="G43" s="67">
        <v>51</v>
      </c>
      <c r="H43" s="67">
        <v>44.04</v>
      </c>
      <c r="I43" s="67">
        <v>30</v>
      </c>
      <c r="J43" s="80">
        <v>5223.1439999999993</v>
      </c>
      <c r="K43" s="67">
        <v>5220</v>
      </c>
      <c r="V43" s="67">
        <v>25</v>
      </c>
      <c r="AD43" s="67">
        <v>19</v>
      </c>
      <c r="AJ43" s="67">
        <v>23</v>
      </c>
      <c r="AN43" s="67">
        <v>580</v>
      </c>
      <c r="AO43" s="67">
        <v>233</v>
      </c>
      <c r="AP43" s="67">
        <v>84</v>
      </c>
      <c r="AQ43" s="81">
        <v>11.351760000000001</v>
      </c>
      <c r="AY43" s="67">
        <v>-30</v>
      </c>
      <c r="AZ43" s="67">
        <v>55</v>
      </c>
      <c r="BA43" s="67">
        <v>-30</v>
      </c>
      <c r="BB43" s="67">
        <v>55</v>
      </c>
      <c r="BE43" s="67">
        <v>-30</v>
      </c>
      <c r="BF43" s="67">
        <v>60</v>
      </c>
      <c r="BL43" s="68" t="s">
        <v>102</v>
      </c>
      <c r="BM43" t="s">
        <v>332</v>
      </c>
      <c r="BP43" s="3" t="s">
        <v>41</v>
      </c>
      <c r="BR43" s="69">
        <v>59.3</v>
      </c>
      <c r="BS43" s="69">
        <v>3.67</v>
      </c>
      <c r="BT43" s="113">
        <v>217.63099999999997</v>
      </c>
      <c r="BZ43" s="67">
        <v>12</v>
      </c>
      <c r="CA43" s="67">
        <v>2</v>
      </c>
      <c r="CB43" s="69">
        <v>24</v>
      </c>
      <c r="CC43" s="80">
        <v>227.09321739130431</v>
      </c>
      <c r="CD43" s="80">
        <v>460.11755005391228</v>
      </c>
      <c r="CE43" s="80">
        <v>1086.9565217391305</v>
      </c>
      <c r="CH43" s="80">
        <v>2202.3016695208494</v>
      </c>
    </row>
    <row r="44" spans="1:97">
      <c r="A44" s="5">
        <v>35</v>
      </c>
      <c r="B44" s="94" t="s">
        <v>308</v>
      </c>
      <c r="C44" s="112" t="s">
        <v>102</v>
      </c>
      <c r="D44" s="139" t="s">
        <v>304</v>
      </c>
      <c r="E44" s="3" t="s">
        <v>283</v>
      </c>
      <c r="F44" s="67">
        <v>177.9</v>
      </c>
      <c r="G44" s="67">
        <v>34</v>
      </c>
      <c r="H44" s="67">
        <v>29.36</v>
      </c>
      <c r="I44" s="67">
        <v>20</v>
      </c>
      <c r="J44" s="80">
        <v>5223.1440000000002</v>
      </c>
      <c r="K44" s="67">
        <v>5220</v>
      </c>
      <c r="V44" s="67">
        <v>25</v>
      </c>
      <c r="AD44" s="67">
        <v>19</v>
      </c>
      <c r="AJ44" s="67">
        <v>23</v>
      </c>
      <c r="AN44" s="67">
        <v>580</v>
      </c>
      <c r="AO44" s="67">
        <v>233</v>
      </c>
      <c r="AP44" s="67">
        <v>84</v>
      </c>
      <c r="AQ44" s="81">
        <v>11.351760000000001</v>
      </c>
      <c r="AY44" s="67">
        <v>-30</v>
      </c>
      <c r="AZ44" s="67">
        <v>55</v>
      </c>
      <c r="BA44" s="67">
        <v>-30</v>
      </c>
      <c r="BB44" s="67">
        <v>55</v>
      </c>
      <c r="BE44" s="67">
        <v>-30</v>
      </c>
      <c r="BF44" s="67">
        <v>60</v>
      </c>
      <c r="BL44" s="68" t="s">
        <v>102</v>
      </c>
      <c r="BM44" t="s">
        <v>332</v>
      </c>
      <c r="BP44" s="3" t="s">
        <v>41</v>
      </c>
      <c r="BR44" s="69">
        <v>59.300000000000004</v>
      </c>
      <c r="BS44" s="69">
        <v>3.67</v>
      </c>
      <c r="BT44" s="113">
        <v>217.631</v>
      </c>
      <c r="BZ44" s="67">
        <v>8</v>
      </c>
      <c r="CA44" s="67">
        <v>3</v>
      </c>
      <c r="CB44" s="69">
        <v>24</v>
      </c>
      <c r="CC44" s="80">
        <v>227.09321739130436</v>
      </c>
      <c r="CD44" s="80">
        <v>460.11755005391234</v>
      </c>
      <c r="CE44" s="80">
        <v>1086.9565217391305</v>
      </c>
      <c r="CH44" s="80">
        <v>2202.3016695208494</v>
      </c>
    </row>
    <row r="45" spans="1:97">
      <c r="A45" s="5">
        <v>43</v>
      </c>
      <c r="B45" s="94" t="s">
        <v>311</v>
      </c>
      <c r="C45" s="115" t="s">
        <v>214</v>
      </c>
      <c r="D45" s="140" t="s">
        <v>310</v>
      </c>
      <c r="E45" s="3" t="s">
        <v>283</v>
      </c>
      <c r="F45" s="3">
        <v>120</v>
      </c>
      <c r="G45" s="3">
        <v>49.2</v>
      </c>
      <c r="H45" s="3">
        <v>43.958333333333336</v>
      </c>
      <c r="I45" s="3">
        <v>32.4</v>
      </c>
      <c r="J45" s="3">
        <v>5275</v>
      </c>
      <c r="AJ45" s="3">
        <v>29.8</v>
      </c>
      <c r="AK45" s="69">
        <v>26.736000000000004</v>
      </c>
      <c r="AL45" s="69">
        <v>3.0639999999999965</v>
      </c>
      <c r="AM45" s="85">
        <v>0.89718120805369139</v>
      </c>
      <c r="AN45" s="3">
        <v>387</v>
      </c>
      <c r="AO45" s="3">
        <v>300</v>
      </c>
      <c r="AP45" s="3">
        <v>150</v>
      </c>
      <c r="AQ45" s="81">
        <v>17.414999999999999</v>
      </c>
      <c r="AR45" s="107">
        <v>11.442516268980476</v>
      </c>
      <c r="AS45" s="108">
        <v>0.65704945558314543</v>
      </c>
      <c r="AT45" s="107">
        <v>5.9724837310195227</v>
      </c>
      <c r="BL45" s="68" t="s">
        <v>34</v>
      </c>
      <c r="BO45" s="3" t="s">
        <v>52</v>
      </c>
      <c r="BP45" s="3" t="s">
        <v>35</v>
      </c>
      <c r="BR45" s="3">
        <v>120</v>
      </c>
      <c r="BS45" s="3">
        <v>3.66</v>
      </c>
      <c r="BT45" s="113">
        <v>439.20000000000005</v>
      </c>
      <c r="BU45" s="3">
        <v>2.2280000000000002</v>
      </c>
      <c r="BV45" s="80">
        <v>197.12746858168762</v>
      </c>
      <c r="BW45" s="3">
        <v>461</v>
      </c>
      <c r="BZ45" s="3">
        <v>12</v>
      </c>
      <c r="CA45" s="3">
        <v>1</v>
      </c>
      <c r="CB45" s="3">
        <v>12</v>
      </c>
      <c r="CC45" s="80">
        <v>177.01342281879195</v>
      </c>
      <c r="CD45" s="80">
        <v>302.89979902383004</v>
      </c>
      <c r="CJ45" s="86">
        <v>2.8719444444444444</v>
      </c>
      <c r="CK45" s="86">
        <v>0.79125000000000001</v>
      </c>
      <c r="CL45" s="86">
        <v>1.7290277777777778</v>
      </c>
      <c r="CM45" s="86">
        <v>4.3372222222222225</v>
      </c>
      <c r="CN45" s="86">
        <v>0</v>
      </c>
      <c r="CO45" s="86">
        <v>0.52750000000000008</v>
      </c>
      <c r="CP45" s="86">
        <v>0.90847222222222224</v>
      </c>
      <c r="CQ45" s="86">
        <v>2.9012500000000006</v>
      </c>
      <c r="CR45" s="86">
        <v>1.7290277777777778</v>
      </c>
      <c r="CS45" s="87">
        <v>0.5300568605518271</v>
      </c>
    </row>
    <row r="46" spans="1:97">
      <c r="A46" s="5">
        <v>39</v>
      </c>
      <c r="B46" s="94" t="s">
        <v>312</v>
      </c>
      <c r="C46" s="115" t="s">
        <v>102</v>
      </c>
      <c r="D46" s="140" t="s">
        <v>313</v>
      </c>
      <c r="E46" s="3" t="s">
        <v>283</v>
      </c>
      <c r="F46" s="3">
        <v>236</v>
      </c>
      <c r="G46" s="3">
        <v>12.3</v>
      </c>
      <c r="H46" s="3">
        <v>10.8</v>
      </c>
      <c r="I46" s="3">
        <v>9.6</v>
      </c>
      <c r="J46" s="3">
        <v>2548.8000000000002</v>
      </c>
      <c r="AJ46" s="3">
        <v>12</v>
      </c>
      <c r="AK46" s="69">
        <v>9.84</v>
      </c>
      <c r="AL46" s="69">
        <v>2.16</v>
      </c>
      <c r="AM46" s="85">
        <v>0.82</v>
      </c>
      <c r="AN46" s="3">
        <v>357</v>
      </c>
      <c r="AO46" s="3">
        <v>151</v>
      </c>
      <c r="AP46" s="3">
        <v>110</v>
      </c>
      <c r="AQ46" s="81">
        <v>5.9297700000000004</v>
      </c>
      <c r="BL46" s="68" t="s">
        <v>102</v>
      </c>
      <c r="BO46" s="3" t="s">
        <v>49</v>
      </c>
      <c r="BP46" s="3" t="s">
        <v>41</v>
      </c>
      <c r="BR46" s="3">
        <v>58</v>
      </c>
      <c r="BS46" s="3">
        <v>3.6</v>
      </c>
      <c r="BT46" s="3">
        <v>208.8</v>
      </c>
      <c r="BU46" s="3">
        <v>0.82</v>
      </c>
      <c r="BV46" s="80">
        <v>254.63414634146343</v>
      </c>
      <c r="BZ46" s="3">
        <v>3</v>
      </c>
      <c r="CA46" s="3">
        <v>4</v>
      </c>
      <c r="CB46" s="3">
        <v>12</v>
      </c>
      <c r="CC46" s="80">
        <v>212.4</v>
      </c>
      <c r="CD46" s="80">
        <v>429.83117389038699</v>
      </c>
      <c r="CJ46" s="86">
        <v>1.4018400000000004</v>
      </c>
      <c r="CK46" s="86">
        <v>0.46728000000000003</v>
      </c>
      <c r="CL46" s="86">
        <v>0.80712000000000006</v>
      </c>
      <c r="CM46" s="86">
        <v>2.1240000000000006</v>
      </c>
      <c r="CN46" s="86">
        <v>0</v>
      </c>
      <c r="CO46" s="86">
        <v>0.25488000000000005</v>
      </c>
      <c r="CP46" s="86">
        <v>0.42480000000000007</v>
      </c>
      <c r="CQ46" s="86">
        <v>1.3593600000000001</v>
      </c>
      <c r="CR46" s="86">
        <v>0.80712000000000006</v>
      </c>
      <c r="CS46" s="87">
        <v>0.63720000000000021</v>
      </c>
    </row>
    <row r="47" spans="1:97">
      <c r="A47" s="5">
        <v>44</v>
      </c>
      <c r="B47" s="94" t="s">
        <v>315</v>
      </c>
      <c r="C47" s="115" t="s">
        <v>102</v>
      </c>
      <c r="D47" s="140" t="s">
        <v>314</v>
      </c>
      <c r="E47" s="3" t="s">
        <v>283</v>
      </c>
      <c r="F47" s="3">
        <v>234</v>
      </c>
      <c r="G47" s="3">
        <v>33.6</v>
      </c>
      <c r="H47" s="3">
        <v>29.6</v>
      </c>
      <c r="I47" s="3">
        <v>24.2</v>
      </c>
      <c r="J47" s="3">
        <v>6850</v>
      </c>
      <c r="AJ47" s="3">
        <v>32</v>
      </c>
      <c r="AK47" s="69">
        <v>25.991999999999997</v>
      </c>
      <c r="AL47" s="69">
        <v>6.0080000000000027</v>
      </c>
      <c r="AM47" s="85">
        <v>0.81224999999999992</v>
      </c>
      <c r="AN47" s="3">
        <v>590</v>
      </c>
      <c r="AO47" s="3">
        <v>225</v>
      </c>
      <c r="AP47" s="3">
        <v>110</v>
      </c>
      <c r="AQ47" s="81">
        <v>14.602499999999999</v>
      </c>
      <c r="AR47" s="107">
        <v>11.341059602649006</v>
      </c>
      <c r="AS47" s="108">
        <v>0.77665191594925576</v>
      </c>
      <c r="AT47" s="107">
        <v>3.2614403973509933</v>
      </c>
      <c r="BL47" s="68" t="s">
        <v>102</v>
      </c>
      <c r="BN47" s="3" t="s">
        <v>147</v>
      </c>
      <c r="BO47" s="3" t="s">
        <v>40</v>
      </c>
      <c r="BP47" s="3" t="s">
        <v>41</v>
      </c>
      <c r="BR47" s="3">
        <v>78</v>
      </c>
      <c r="BS47" s="3">
        <v>3.67</v>
      </c>
      <c r="BT47" s="3">
        <v>286.26</v>
      </c>
      <c r="BU47" s="3">
        <v>1.083</v>
      </c>
      <c r="BV47" s="80">
        <v>264.3213296398892</v>
      </c>
      <c r="BW47" s="3">
        <v>604</v>
      </c>
      <c r="BZ47" s="3">
        <v>8</v>
      </c>
      <c r="CA47" s="3">
        <v>3</v>
      </c>
      <c r="CB47" s="3">
        <v>24</v>
      </c>
      <c r="CC47" s="80">
        <v>214.0625</v>
      </c>
      <c r="CD47" s="80">
        <v>469.09775723335048</v>
      </c>
      <c r="CJ47" s="86">
        <v>3.4249999999999998</v>
      </c>
      <c r="CK47" s="86">
        <v>1.2558333333333331</v>
      </c>
      <c r="CL47" s="86">
        <v>2.1691666666666665</v>
      </c>
      <c r="CM47" s="86">
        <v>5.708333333333333</v>
      </c>
      <c r="CN47" s="86">
        <v>0</v>
      </c>
      <c r="CO47" s="86">
        <v>0.68500000000000005</v>
      </c>
      <c r="CP47" s="86">
        <v>0.55180174999999998</v>
      </c>
      <c r="CQ47" s="86">
        <v>4.0447994166666668</v>
      </c>
      <c r="CR47" s="86">
        <v>2.2833333333333332</v>
      </c>
      <c r="CS47" s="87">
        <v>0.62885211979166655</v>
      </c>
    </row>
    <row r="48" spans="1:97">
      <c r="A48" s="5">
        <v>44</v>
      </c>
      <c r="B48" s="94" t="s">
        <v>316</v>
      </c>
      <c r="C48" s="115" t="s">
        <v>102</v>
      </c>
      <c r="D48" s="140" t="s">
        <v>317</v>
      </c>
      <c r="E48" s="3" t="s">
        <v>283</v>
      </c>
      <c r="F48" s="3">
        <v>156</v>
      </c>
      <c r="G48" s="3">
        <v>50</v>
      </c>
      <c r="H48" s="3">
        <v>44</v>
      </c>
      <c r="I48" s="3">
        <v>39.6</v>
      </c>
      <c r="J48" s="3">
        <v>6850</v>
      </c>
      <c r="AJ48" s="3">
        <v>32</v>
      </c>
      <c r="AK48" s="69">
        <v>25.991999999999997</v>
      </c>
      <c r="AL48" s="69">
        <v>6.0080000000000027</v>
      </c>
      <c r="AM48" s="85">
        <v>0.81224999999999992</v>
      </c>
      <c r="AN48" s="3">
        <v>590</v>
      </c>
      <c r="AO48" s="3">
        <v>225</v>
      </c>
      <c r="AP48" s="3">
        <v>110</v>
      </c>
      <c r="AQ48" s="81">
        <v>14.602499999999999</v>
      </c>
      <c r="AR48" s="107">
        <v>11.341059602649006</v>
      </c>
      <c r="AS48" s="108">
        <v>0.77665191594925576</v>
      </c>
      <c r="AT48" s="107">
        <v>3.2614403973509933</v>
      </c>
      <c r="BL48" s="68" t="s">
        <v>102</v>
      </c>
      <c r="BN48" s="3" t="s">
        <v>147</v>
      </c>
      <c r="BO48" s="3" t="s">
        <v>40</v>
      </c>
      <c r="BP48" s="3" t="s">
        <v>41</v>
      </c>
      <c r="BR48" s="3">
        <v>78</v>
      </c>
      <c r="BS48" s="3">
        <v>3.67</v>
      </c>
      <c r="BT48" s="3">
        <v>286.26</v>
      </c>
      <c r="BU48" s="3">
        <v>1.083</v>
      </c>
      <c r="BV48" s="80">
        <v>264.3213296398892</v>
      </c>
      <c r="BW48" s="3">
        <v>604</v>
      </c>
      <c r="BZ48" s="3">
        <v>12</v>
      </c>
      <c r="CA48" s="3">
        <v>2</v>
      </c>
      <c r="CB48" s="3">
        <v>24</v>
      </c>
      <c r="CC48" s="80">
        <v>214.0625</v>
      </c>
      <c r="CD48" s="80">
        <v>469.09775723335048</v>
      </c>
      <c r="CJ48" s="86">
        <v>3.4249999999999998</v>
      </c>
      <c r="CK48" s="86">
        <v>1.2558333333333331</v>
      </c>
      <c r="CL48" s="86">
        <v>2.1691666666666665</v>
      </c>
      <c r="CM48" s="86">
        <v>5.708333333333333</v>
      </c>
      <c r="CN48" s="86">
        <v>0</v>
      </c>
      <c r="CO48" s="86">
        <v>0.68500000000000005</v>
      </c>
      <c r="CP48" s="86">
        <v>0.55180174999999998</v>
      </c>
      <c r="CQ48" s="86">
        <v>4.0447994166666668</v>
      </c>
      <c r="CR48" s="86">
        <v>2.2833333333333332</v>
      </c>
      <c r="CS48" s="87">
        <v>0.62885211979166655</v>
      </c>
    </row>
    <row r="49" spans="1:97">
      <c r="A49" s="5">
        <v>23</v>
      </c>
      <c r="B49" s="94" t="s">
        <v>318</v>
      </c>
      <c r="C49" s="115" t="s">
        <v>39</v>
      </c>
      <c r="D49" s="140" t="s">
        <v>319</v>
      </c>
      <c r="E49" s="3" t="s">
        <v>283</v>
      </c>
      <c r="F49" s="3">
        <v>60</v>
      </c>
      <c r="G49" s="3">
        <v>8.3000000000000007</v>
      </c>
      <c r="H49" s="3">
        <v>7.3</v>
      </c>
      <c r="I49" s="3">
        <v>6</v>
      </c>
      <c r="J49" s="3">
        <v>438</v>
      </c>
      <c r="AJ49" s="3">
        <v>3.64</v>
      </c>
      <c r="AN49" s="3">
        <v>222</v>
      </c>
      <c r="AO49" s="3">
        <v>300</v>
      </c>
      <c r="AP49" s="3">
        <v>34</v>
      </c>
      <c r="AQ49" s="81">
        <v>2.2644000000000002</v>
      </c>
      <c r="BL49" s="68" t="s">
        <v>39</v>
      </c>
      <c r="BP49" s="3" t="s">
        <v>41</v>
      </c>
      <c r="BR49" s="3">
        <v>30</v>
      </c>
      <c r="BS49" s="3">
        <v>3.65</v>
      </c>
      <c r="BT49" s="3">
        <v>109.5</v>
      </c>
      <c r="BZ49" s="3">
        <v>2</v>
      </c>
      <c r="CA49" s="3">
        <v>2</v>
      </c>
      <c r="CB49" s="3">
        <v>4</v>
      </c>
      <c r="CC49" s="80">
        <v>120.32967032967032</v>
      </c>
      <c r="CD49" s="80">
        <v>193.42872284048752</v>
      </c>
    </row>
    <row r="50" spans="1:97">
      <c r="A50" s="5">
        <v>41</v>
      </c>
      <c r="B50" s="94" t="s">
        <v>320</v>
      </c>
      <c r="C50" s="115" t="s">
        <v>214</v>
      </c>
      <c r="D50" s="141" t="s">
        <v>323</v>
      </c>
      <c r="E50" s="3" t="s">
        <v>283</v>
      </c>
      <c r="F50" s="3">
        <v>94</v>
      </c>
      <c r="H50" s="3">
        <v>45.6</v>
      </c>
      <c r="J50" s="3">
        <v>4150</v>
      </c>
      <c r="AJ50" s="3">
        <v>28</v>
      </c>
      <c r="AK50" s="69">
        <v>24.119999999999997</v>
      </c>
      <c r="AL50" s="69">
        <v>3.8800000000000026</v>
      </c>
      <c r="AM50" s="85">
        <v>0.86142857142857132</v>
      </c>
      <c r="AN50" s="3">
        <v>410</v>
      </c>
      <c r="AO50" s="3">
        <v>310</v>
      </c>
      <c r="AP50" s="3">
        <v>150</v>
      </c>
      <c r="AQ50" s="81">
        <v>19.065000000000001</v>
      </c>
      <c r="AR50" s="107">
        <v>11.690140845070422</v>
      </c>
      <c r="AS50" s="108">
        <v>0.61317287411856392</v>
      </c>
      <c r="AT50" s="107">
        <v>7.3748591549295792</v>
      </c>
      <c r="BL50" s="68" t="s">
        <v>34</v>
      </c>
      <c r="BO50" s="3" t="s">
        <v>52</v>
      </c>
      <c r="BP50" s="3" t="s">
        <v>35</v>
      </c>
      <c r="BR50" s="3">
        <v>94</v>
      </c>
      <c r="BS50" s="3">
        <v>3.68</v>
      </c>
      <c r="BT50" s="3">
        <v>345.92</v>
      </c>
      <c r="BU50" s="3">
        <v>2.0099999999999998</v>
      </c>
      <c r="BV50" s="80">
        <v>172.09950248756221</v>
      </c>
      <c r="BW50" s="3">
        <v>355</v>
      </c>
      <c r="BZ50" s="3">
        <v>12</v>
      </c>
      <c r="CA50" s="3">
        <v>1</v>
      </c>
      <c r="CB50" s="3">
        <v>12</v>
      </c>
      <c r="CC50" s="80">
        <v>148.21428571428572</v>
      </c>
      <c r="CD50" s="80">
        <v>217.6763703120902</v>
      </c>
      <c r="CJ50" s="86">
        <v>2.2594444444444446</v>
      </c>
      <c r="CK50" s="86">
        <v>0.62250000000000005</v>
      </c>
      <c r="CL50" s="86">
        <v>1.3602777777777779</v>
      </c>
      <c r="CM50" s="86">
        <v>3.4122222222222227</v>
      </c>
      <c r="CN50" s="86">
        <v>0</v>
      </c>
      <c r="CO50" s="86">
        <v>0.41500000000000004</v>
      </c>
      <c r="CP50" s="86">
        <v>0.71472222222222226</v>
      </c>
      <c r="CQ50" s="86">
        <v>2.2825000000000002</v>
      </c>
      <c r="CR50" s="86">
        <v>1.3602777777777779</v>
      </c>
      <c r="CS50" s="87">
        <v>0.4438194444444446</v>
      </c>
    </row>
    <row r="51" spans="1:97">
      <c r="A51" s="5">
        <v>23</v>
      </c>
      <c r="B51" s="94" t="s">
        <v>322</v>
      </c>
      <c r="C51" s="115" t="s">
        <v>51</v>
      </c>
      <c r="D51" s="140" t="s">
        <v>321</v>
      </c>
      <c r="E51" s="3" t="s">
        <v>283</v>
      </c>
      <c r="F51" s="3">
        <v>188</v>
      </c>
      <c r="G51" s="3">
        <v>67.2</v>
      </c>
      <c r="H51" s="3">
        <v>58.72</v>
      </c>
      <c r="J51" s="116">
        <v>11039.36</v>
      </c>
      <c r="AJ51" s="3">
        <v>45</v>
      </c>
      <c r="AN51" s="3">
        <v>643</v>
      </c>
      <c r="AO51" s="3">
        <v>412</v>
      </c>
      <c r="AP51" s="3">
        <v>114</v>
      </c>
      <c r="AQ51" s="81">
        <v>30.200424000000002</v>
      </c>
      <c r="BH51" s="3">
        <v>4</v>
      </c>
      <c r="BL51" s="68" t="s">
        <v>51</v>
      </c>
      <c r="BP51" s="3" t="s">
        <v>35</v>
      </c>
      <c r="BR51" s="3">
        <v>94</v>
      </c>
      <c r="BS51" s="3">
        <v>3.67</v>
      </c>
      <c r="BT51" s="3">
        <v>344.98</v>
      </c>
      <c r="BZ51" s="3">
        <v>16</v>
      </c>
      <c r="CA51" s="3">
        <v>2</v>
      </c>
      <c r="CB51" s="3">
        <v>32</v>
      </c>
      <c r="CC51" s="80">
        <v>245.31911111111111</v>
      </c>
      <c r="CD51" s="80">
        <v>365.53658981741449</v>
      </c>
    </row>
    <row r="52" spans="1:97">
      <c r="A52" s="5">
        <v>43</v>
      </c>
      <c r="B52" s="94" t="s">
        <v>327</v>
      </c>
      <c r="C52" s="117" t="s">
        <v>324</v>
      </c>
      <c r="D52" s="119" t="s">
        <v>328</v>
      </c>
      <c r="E52" s="118" t="s">
        <v>287</v>
      </c>
      <c r="F52" s="67">
        <v>33.6</v>
      </c>
      <c r="G52" s="67">
        <v>58.8</v>
      </c>
      <c r="H52" s="67">
        <v>50.4</v>
      </c>
      <c r="I52" s="67">
        <v>35</v>
      </c>
      <c r="J52" s="80">
        <v>1693.44</v>
      </c>
      <c r="L52" s="123">
        <v>0.9</v>
      </c>
      <c r="M52" s="123">
        <v>0.1</v>
      </c>
      <c r="X52" s="67">
        <v>23.5</v>
      </c>
      <c r="Y52" s="67">
        <v>600</v>
      </c>
      <c r="Z52" s="67">
        <v>3.4</v>
      </c>
      <c r="AA52" s="67">
        <v>67.2</v>
      </c>
      <c r="AC52" s="67">
        <v>67.2</v>
      </c>
      <c r="AE52" s="67">
        <v>33.6</v>
      </c>
      <c r="AJ52" s="67">
        <v>10</v>
      </c>
      <c r="AN52" s="67">
        <v>380</v>
      </c>
      <c r="AO52" s="67">
        <v>210</v>
      </c>
      <c r="AP52" s="67">
        <v>83</v>
      </c>
      <c r="AQ52" s="69">
        <v>6.6234000000000002</v>
      </c>
      <c r="AX52" s="117" t="s">
        <v>50</v>
      </c>
      <c r="AY52" s="67">
        <v>0</v>
      </c>
      <c r="AZ52" s="67">
        <v>45</v>
      </c>
      <c r="BA52" s="67">
        <v>-20</v>
      </c>
      <c r="BB52" s="67">
        <v>50</v>
      </c>
      <c r="BE52" s="67">
        <v>5</v>
      </c>
      <c r="BF52" s="67">
        <v>25</v>
      </c>
      <c r="BO52" s="119" t="s">
        <v>54</v>
      </c>
      <c r="BP52" s="119" t="s">
        <v>329</v>
      </c>
      <c r="BQ52" s="67">
        <v>21700</v>
      </c>
      <c r="CC52" s="80">
        <v>169.34399999999999</v>
      </c>
      <c r="CD52" s="80">
        <v>255.67533291058973</v>
      </c>
      <c r="CJ52" s="86">
        <v>0.84672000000000003</v>
      </c>
      <c r="CK52" s="86">
        <v>5.6447999999999998E-2</v>
      </c>
      <c r="CL52" s="86">
        <v>0.47980800000000001</v>
      </c>
      <c r="CM52" s="86">
        <v>1.2418559999999998</v>
      </c>
      <c r="CN52" s="86">
        <v>0</v>
      </c>
      <c r="CO52" s="86">
        <v>0.16934400000000002</v>
      </c>
      <c r="CP52" s="86">
        <v>0</v>
      </c>
      <c r="CQ52" s="86">
        <v>1.213632</v>
      </c>
      <c r="CR52" s="86">
        <v>0.47980800000000001</v>
      </c>
      <c r="CS52" s="87">
        <v>0.44876159999999998</v>
      </c>
    </row>
    <row r="53" spans="1:97">
      <c r="A53" s="5">
        <v>43</v>
      </c>
      <c r="B53" s="94" t="s">
        <v>339</v>
      </c>
      <c r="C53" s="122" t="s">
        <v>63</v>
      </c>
      <c r="D53" s="142" t="s">
        <v>333</v>
      </c>
      <c r="E53" s="3" t="s">
        <v>154</v>
      </c>
      <c r="F53" s="3">
        <v>230</v>
      </c>
      <c r="H53" s="3">
        <v>19.2</v>
      </c>
      <c r="J53" s="80">
        <v>4416</v>
      </c>
      <c r="AJ53" s="3">
        <v>26.7</v>
      </c>
      <c r="AK53" s="69">
        <v>25.200000000000003</v>
      </c>
      <c r="AL53" s="69">
        <v>1.4999999999999964</v>
      </c>
      <c r="AM53" s="85">
        <v>0.94382022471910121</v>
      </c>
      <c r="AN53" s="3">
        <v>368</v>
      </c>
      <c r="AO53" s="3">
        <v>176.9</v>
      </c>
      <c r="AP53" s="3">
        <v>211.5</v>
      </c>
      <c r="AQ53" s="69">
        <v>13.768480800000001</v>
      </c>
      <c r="AR53" s="107">
        <v>11.47012987012987</v>
      </c>
      <c r="AS53" s="108">
        <v>0.83307156662700721</v>
      </c>
      <c r="AT53" s="107">
        <v>2.2983509298701303</v>
      </c>
      <c r="BL53" s="68" t="s">
        <v>63</v>
      </c>
      <c r="BN53" s="3" t="s">
        <v>138</v>
      </c>
      <c r="BO53" s="3" t="s">
        <v>53</v>
      </c>
      <c r="BP53" s="3" t="s">
        <v>35</v>
      </c>
      <c r="BR53" s="3">
        <v>230</v>
      </c>
      <c r="BS53" s="3">
        <v>3.2</v>
      </c>
      <c r="BT53" s="3">
        <v>736</v>
      </c>
      <c r="BU53" s="3">
        <v>4.2</v>
      </c>
      <c r="BV53" s="80">
        <v>175.23809523809524</v>
      </c>
      <c r="BW53" s="3">
        <v>385</v>
      </c>
      <c r="BX53">
        <v>5.0299999999999997E-4</v>
      </c>
      <c r="BZ53" s="3">
        <v>6</v>
      </c>
      <c r="CA53" s="3">
        <v>1</v>
      </c>
      <c r="CB53" s="3">
        <v>6</v>
      </c>
      <c r="CC53" s="80">
        <v>165.3932584269663</v>
      </c>
      <c r="CD53" s="80">
        <v>320.73255315139778</v>
      </c>
      <c r="CJ53" s="86">
        <v>3.2383999999999999</v>
      </c>
      <c r="CK53" s="86">
        <v>0</v>
      </c>
      <c r="CL53" s="86">
        <v>1.9136000000000002</v>
      </c>
      <c r="CM53" s="86">
        <v>4.8576000000000006</v>
      </c>
      <c r="CN53" s="86">
        <v>3.0176000000000003</v>
      </c>
      <c r="CO53" s="86">
        <v>0.44160000000000005</v>
      </c>
      <c r="CP53" s="86">
        <v>0</v>
      </c>
      <c r="CQ53" s="86">
        <v>0</v>
      </c>
      <c r="CR53" s="86">
        <v>1.9136000000000002</v>
      </c>
      <c r="CS53" s="87">
        <v>0.57611985018726597</v>
      </c>
    </row>
    <row r="54" spans="1:97">
      <c r="A54" s="5">
        <v>43</v>
      </c>
      <c r="B54" s="94" t="s">
        <v>340</v>
      </c>
      <c r="C54" s="122" t="s">
        <v>63</v>
      </c>
      <c r="D54" s="142" t="s">
        <v>334</v>
      </c>
      <c r="E54" s="3" t="s">
        <v>154</v>
      </c>
      <c r="F54" s="3">
        <v>230</v>
      </c>
      <c r="H54" s="3">
        <v>25.6</v>
      </c>
      <c r="J54" s="80">
        <v>5888</v>
      </c>
      <c r="AJ54" s="3">
        <v>35</v>
      </c>
      <c r="AK54" s="69">
        <v>33.6</v>
      </c>
      <c r="AL54" s="69">
        <v>1.3999999999999986</v>
      </c>
      <c r="AM54" s="85">
        <v>0.96000000000000008</v>
      </c>
      <c r="AN54" s="3">
        <v>480</v>
      </c>
      <c r="AO54" s="3">
        <v>176.8</v>
      </c>
      <c r="AP54" s="3">
        <v>211.5</v>
      </c>
      <c r="AQ54" s="69">
        <v>17.948736</v>
      </c>
      <c r="AR54" s="107">
        <v>15.293506493506493</v>
      </c>
      <c r="AS54" s="108">
        <v>0.85206593341762304</v>
      </c>
      <c r="AT54" s="107">
        <v>2.655229506493507</v>
      </c>
      <c r="BL54" s="68" t="s">
        <v>63</v>
      </c>
      <c r="BN54" s="3" t="s">
        <v>138</v>
      </c>
      <c r="BO54" s="3" t="s">
        <v>53</v>
      </c>
      <c r="BP54" s="3" t="s">
        <v>35</v>
      </c>
      <c r="BR54" s="3">
        <v>230</v>
      </c>
      <c r="BS54" s="3">
        <v>3.2</v>
      </c>
      <c r="BT54" s="3">
        <v>736</v>
      </c>
      <c r="BU54" s="3">
        <v>4.2</v>
      </c>
      <c r="BV54" s="80">
        <v>175.23809523809524</v>
      </c>
      <c r="BW54" s="3">
        <v>385</v>
      </c>
      <c r="BX54">
        <v>5.0299999999999997E-4</v>
      </c>
      <c r="BZ54" s="3">
        <v>8</v>
      </c>
      <c r="CA54" s="3">
        <v>1</v>
      </c>
      <c r="CB54" s="3">
        <v>8</v>
      </c>
      <c r="CC54" s="80">
        <v>168.22857142857143</v>
      </c>
      <c r="CD54" s="80">
        <v>328.04538436578486</v>
      </c>
      <c r="CJ54" s="86">
        <v>4.3178666666666663</v>
      </c>
      <c r="CK54" s="86">
        <v>0</v>
      </c>
      <c r="CL54" s="86">
        <v>2.5514666666666668</v>
      </c>
      <c r="CM54" s="86">
        <v>6.4768000000000008</v>
      </c>
      <c r="CN54" s="86">
        <v>4.0234666666666667</v>
      </c>
      <c r="CO54" s="86">
        <v>0.58879999999999999</v>
      </c>
      <c r="CP54" s="86">
        <v>0</v>
      </c>
      <c r="CQ54" s="86">
        <v>0</v>
      </c>
      <c r="CR54" s="86">
        <v>2.5514666666666668</v>
      </c>
      <c r="CS54" s="87">
        <v>0.58599619047619045</v>
      </c>
    </row>
    <row r="55" spans="1:97">
      <c r="A55" s="5">
        <v>43</v>
      </c>
      <c r="B55" s="94" t="s">
        <v>341</v>
      </c>
      <c r="C55" s="122" t="s">
        <v>63</v>
      </c>
      <c r="D55" s="142" t="s">
        <v>335</v>
      </c>
      <c r="E55" s="3" t="s">
        <v>154</v>
      </c>
      <c r="F55" s="3">
        <v>920</v>
      </c>
      <c r="H55" s="3">
        <v>3.2</v>
      </c>
      <c r="J55" s="80">
        <v>2944</v>
      </c>
      <c r="AJ55" s="3">
        <v>18.3</v>
      </c>
      <c r="AK55" s="69">
        <v>16.8</v>
      </c>
      <c r="AL55" s="69">
        <v>1.5</v>
      </c>
      <c r="AM55" s="85">
        <v>0.91803278688524592</v>
      </c>
      <c r="AN55" s="3">
        <v>258.2</v>
      </c>
      <c r="AO55" s="3">
        <v>176.9</v>
      </c>
      <c r="AP55" s="3">
        <v>211.3</v>
      </c>
      <c r="AQ55" s="69">
        <v>9.6512500540000019</v>
      </c>
      <c r="AR55" s="107">
        <v>7.6467532467532466</v>
      </c>
      <c r="AS55" s="108">
        <v>0.79230702799830754</v>
      </c>
      <c r="AT55" s="107">
        <v>2.0044968072467553</v>
      </c>
      <c r="BL55" s="68" t="s">
        <v>63</v>
      </c>
      <c r="BN55" s="3" t="s">
        <v>138</v>
      </c>
      <c r="BO55" s="3" t="s">
        <v>53</v>
      </c>
      <c r="BP55" s="3" t="s">
        <v>35</v>
      </c>
      <c r="BR55" s="3">
        <v>230</v>
      </c>
      <c r="BS55" s="3">
        <v>3.2</v>
      </c>
      <c r="BT55" s="3">
        <v>736</v>
      </c>
      <c r="BU55" s="3">
        <v>4.2</v>
      </c>
      <c r="BV55" s="80">
        <v>175.23809523809524</v>
      </c>
      <c r="BW55" s="3">
        <v>385</v>
      </c>
      <c r="BX55">
        <v>5.0299999999999997E-4</v>
      </c>
      <c r="BZ55" s="3">
        <v>1</v>
      </c>
      <c r="CA55" s="3">
        <v>4</v>
      </c>
      <c r="CB55" s="3">
        <v>4</v>
      </c>
      <c r="CC55" s="80">
        <v>160.87431693989069</v>
      </c>
      <c r="CD55" s="80">
        <v>305.0382057793484</v>
      </c>
      <c r="CJ55" s="86">
        <v>2.1589333333333331</v>
      </c>
      <c r="CK55" s="86">
        <v>0</v>
      </c>
      <c r="CL55" s="86">
        <v>1.2757333333333334</v>
      </c>
      <c r="CM55" s="86">
        <v>3.2384000000000004</v>
      </c>
      <c r="CN55" s="86">
        <v>2.0117333333333334</v>
      </c>
      <c r="CO55" s="86">
        <v>0.2944</v>
      </c>
      <c r="CP55" s="86">
        <v>0</v>
      </c>
      <c r="CQ55" s="86">
        <v>0</v>
      </c>
      <c r="CR55" s="86">
        <v>1.2757333333333334</v>
      </c>
      <c r="CS55" s="87">
        <v>0.56037887067395264</v>
      </c>
    </row>
    <row r="56" spans="1:97">
      <c r="A56" s="5">
        <v>43</v>
      </c>
      <c r="B56" s="94" t="s">
        <v>342</v>
      </c>
      <c r="C56" s="122" t="s">
        <v>63</v>
      </c>
      <c r="D56" s="142" t="s">
        <v>336</v>
      </c>
      <c r="E56" s="3" t="s">
        <v>154</v>
      </c>
      <c r="F56" s="3">
        <v>280</v>
      </c>
      <c r="H56" s="3">
        <v>28.8</v>
      </c>
      <c r="J56" s="80">
        <v>8064</v>
      </c>
      <c r="AJ56" s="3">
        <v>50</v>
      </c>
      <c r="AK56" s="69">
        <v>48.78</v>
      </c>
      <c r="AL56" s="69">
        <v>1.2199999999999989</v>
      </c>
      <c r="AM56" s="85">
        <v>0.97560000000000002</v>
      </c>
      <c r="AN56" s="3">
        <v>687</v>
      </c>
      <c r="AO56" s="3">
        <v>176.9</v>
      </c>
      <c r="AP56" s="3">
        <v>211.5</v>
      </c>
      <c r="AQ56" s="69">
        <v>25.703658449999999</v>
      </c>
      <c r="AR56" s="107">
        <v>22.90909090909091</v>
      </c>
      <c r="AS56" s="108">
        <v>0.89127744027780265</v>
      </c>
      <c r="AT56" s="107">
        <v>2.7945675409090889</v>
      </c>
      <c r="BL56" s="68" t="s">
        <v>63</v>
      </c>
      <c r="BN56" s="3" t="s">
        <v>139</v>
      </c>
      <c r="BO56" s="3" t="s">
        <v>53</v>
      </c>
      <c r="BP56" s="3" t="s">
        <v>35</v>
      </c>
      <c r="BR56" s="3">
        <v>280</v>
      </c>
      <c r="BS56" s="3">
        <v>3.2</v>
      </c>
      <c r="BT56" s="3">
        <v>896</v>
      </c>
      <c r="BU56" s="3">
        <v>5.42</v>
      </c>
      <c r="BV56" s="80">
        <v>165.31365313653137</v>
      </c>
      <c r="BW56" s="3">
        <v>352</v>
      </c>
      <c r="BX56">
        <v>5.0799999999999999E-4</v>
      </c>
      <c r="BZ56" s="3">
        <v>9</v>
      </c>
      <c r="CA56" s="3">
        <v>1</v>
      </c>
      <c r="CB56" s="3">
        <v>9</v>
      </c>
      <c r="CC56" s="80">
        <v>161.28</v>
      </c>
      <c r="CD56" s="80">
        <v>313.72965897778653</v>
      </c>
      <c r="CJ56" s="86">
        <v>5.9135999999999997</v>
      </c>
      <c r="CK56" s="86">
        <v>0</v>
      </c>
      <c r="CL56" s="86">
        <v>3.4944000000000002</v>
      </c>
      <c r="CM56" s="86">
        <v>8.8704000000000001</v>
      </c>
      <c r="CN56" s="86">
        <v>5.5103999999999997</v>
      </c>
      <c r="CO56" s="86">
        <v>0.80640000000000001</v>
      </c>
      <c r="CP56" s="86">
        <v>0</v>
      </c>
      <c r="CQ56" s="86">
        <v>0</v>
      </c>
      <c r="CR56" s="86">
        <v>3.4944000000000002</v>
      </c>
      <c r="CS56" s="87">
        <v>0.56179199999999996</v>
      </c>
    </row>
    <row r="57" spans="1:97">
      <c r="A57" s="5">
        <v>43</v>
      </c>
      <c r="B57" s="94" t="s">
        <v>343</v>
      </c>
      <c r="C57" s="122" t="s">
        <v>63</v>
      </c>
      <c r="D57" s="142" t="s">
        <v>337</v>
      </c>
      <c r="E57" s="3" t="s">
        <v>154</v>
      </c>
      <c r="F57" s="3">
        <v>220</v>
      </c>
      <c r="H57" s="3">
        <v>124.8</v>
      </c>
      <c r="J57" s="80">
        <v>27456</v>
      </c>
      <c r="AJ57" s="3">
        <v>202</v>
      </c>
      <c r="AK57" s="69">
        <v>163.80000000000001</v>
      </c>
      <c r="AL57" s="69">
        <v>38.199999999999989</v>
      </c>
      <c r="AM57" s="85">
        <v>0.81089108910891095</v>
      </c>
      <c r="AN57" s="3">
        <v>630</v>
      </c>
      <c r="AO57" s="3">
        <v>950</v>
      </c>
      <c r="AP57" s="3">
        <v>240</v>
      </c>
      <c r="AQ57" s="69">
        <v>143.63999999999999</v>
      </c>
      <c r="AR57" s="107">
        <v>71.314285714285717</v>
      </c>
      <c r="AS57" s="108">
        <v>0.49647929347177472</v>
      </c>
      <c r="AT57" s="107">
        <v>72.32571428571427</v>
      </c>
      <c r="BL57" s="68" t="s">
        <v>63</v>
      </c>
      <c r="BN57" s="3" t="s">
        <v>138</v>
      </c>
      <c r="BO57" s="3" t="s">
        <v>53</v>
      </c>
      <c r="BP57" s="3" t="s">
        <v>35</v>
      </c>
      <c r="BR57" s="3">
        <v>220</v>
      </c>
      <c r="BS57" s="3">
        <v>3.2</v>
      </c>
      <c r="BT57" s="3">
        <v>704</v>
      </c>
      <c r="BU57" s="3">
        <v>4.2</v>
      </c>
      <c r="BV57" s="80">
        <v>167.61904761904762</v>
      </c>
      <c r="BW57" s="3">
        <v>385</v>
      </c>
      <c r="BX57">
        <v>5.0299999999999997E-4</v>
      </c>
      <c r="BZ57" s="3">
        <v>39</v>
      </c>
      <c r="CA57" s="3">
        <v>1</v>
      </c>
      <c r="CB57" s="3">
        <v>39</v>
      </c>
      <c r="CC57" s="80">
        <v>135.92079207920793</v>
      </c>
      <c r="CD57" s="80">
        <v>191.14452798663328</v>
      </c>
      <c r="CJ57" s="86">
        <v>20.134399999999999</v>
      </c>
      <c r="CK57" s="86">
        <v>0</v>
      </c>
      <c r="CL57" s="86">
        <v>11.897600000000001</v>
      </c>
      <c r="CM57" s="86">
        <v>30.201600000000003</v>
      </c>
      <c r="CN57" s="86">
        <v>18.761600000000001</v>
      </c>
      <c r="CO57" s="86">
        <v>2.7456</v>
      </c>
      <c r="CP57" s="86">
        <v>0</v>
      </c>
      <c r="CQ57" s="86">
        <v>0</v>
      </c>
      <c r="CR57" s="86">
        <v>11.897600000000001</v>
      </c>
      <c r="CS57" s="87">
        <v>0.47345742574257421</v>
      </c>
    </row>
    <row r="58" spans="1:97">
      <c r="A58" s="5">
        <v>43</v>
      </c>
      <c r="B58" s="94" t="s">
        <v>344</v>
      </c>
      <c r="C58" s="122" t="s">
        <v>63</v>
      </c>
      <c r="D58" s="142" t="s">
        <v>338</v>
      </c>
      <c r="E58" s="3" t="s">
        <v>154</v>
      </c>
      <c r="F58" s="3">
        <v>220</v>
      </c>
      <c r="H58" s="3">
        <v>873.6</v>
      </c>
      <c r="J58" s="80">
        <v>192192</v>
      </c>
      <c r="AJ58" s="3">
        <v>1542</v>
      </c>
      <c r="AK58" s="69">
        <v>1146.6000000000001</v>
      </c>
      <c r="AL58" s="69">
        <v>395.39999999999986</v>
      </c>
      <c r="AM58" s="85">
        <v>0.74357976653696511</v>
      </c>
      <c r="AN58" s="3">
        <v>750</v>
      </c>
      <c r="AO58" s="3">
        <v>2250</v>
      </c>
      <c r="AP58" s="3">
        <v>1060</v>
      </c>
      <c r="AQ58" s="69">
        <v>1788.75</v>
      </c>
      <c r="AR58" s="107">
        <v>499.2</v>
      </c>
      <c r="AS58" s="108">
        <v>0.27907756813417189</v>
      </c>
      <c r="AT58" s="107">
        <v>1289.55</v>
      </c>
      <c r="BL58" s="68" t="s">
        <v>63</v>
      </c>
      <c r="BN58" s="3" t="s">
        <v>138</v>
      </c>
      <c r="BO58" s="3" t="s">
        <v>53</v>
      </c>
      <c r="BP58" s="3" t="s">
        <v>35</v>
      </c>
      <c r="BR58" s="3">
        <v>220</v>
      </c>
      <c r="BS58" s="3">
        <v>3.2</v>
      </c>
      <c r="BT58" s="3">
        <v>704</v>
      </c>
      <c r="BU58" s="3">
        <v>4.2</v>
      </c>
      <c r="BV58" s="80">
        <v>167.61904761904762</v>
      </c>
      <c r="BW58" s="3">
        <v>385</v>
      </c>
      <c r="BX58">
        <v>5.0299999999999997E-4</v>
      </c>
      <c r="BZ58" s="3">
        <v>273</v>
      </c>
      <c r="CA58" s="3">
        <v>1</v>
      </c>
      <c r="CB58" s="3">
        <v>273</v>
      </c>
      <c r="CC58" s="80">
        <v>124.63813229571984</v>
      </c>
      <c r="CD58" s="80">
        <v>107.44486373165618</v>
      </c>
      <c r="CJ58" s="86">
        <v>140.9408</v>
      </c>
      <c r="CK58" s="86">
        <v>0</v>
      </c>
      <c r="CL58" s="86">
        <v>83.283200000000008</v>
      </c>
      <c r="CM58" s="86">
        <v>211.41120000000004</v>
      </c>
      <c r="CN58" s="86">
        <v>131.3312</v>
      </c>
      <c r="CO58" s="86">
        <v>19.219200000000001</v>
      </c>
      <c r="CP58" s="86">
        <v>0</v>
      </c>
      <c r="CQ58" s="86">
        <v>0</v>
      </c>
      <c r="CR58" s="86">
        <v>83.283200000000008</v>
      </c>
      <c r="CS58" s="87">
        <v>0.43415616083009079</v>
      </c>
    </row>
    <row r="59" spans="1:97">
      <c r="A59" s="5">
        <v>36</v>
      </c>
      <c r="B59" s="94" t="s">
        <v>345</v>
      </c>
      <c r="C59" s="122" t="s">
        <v>51</v>
      </c>
      <c r="D59" s="142" t="s">
        <v>347</v>
      </c>
      <c r="E59" s="3" t="s">
        <v>287</v>
      </c>
      <c r="F59" s="3">
        <v>202</v>
      </c>
      <c r="G59" s="3">
        <v>14.6</v>
      </c>
      <c r="H59" s="3">
        <v>12.88</v>
      </c>
      <c r="I59" s="3">
        <v>10</v>
      </c>
      <c r="J59" s="80">
        <v>2601.7600000000002</v>
      </c>
      <c r="L59" s="48">
        <v>1</v>
      </c>
      <c r="M59" s="48">
        <v>0</v>
      </c>
      <c r="AJ59" s="3">
        <v>19.7</v>
      </c>
      <c r="AN59" s="3">
        <v>266.22000000000003</v>
      </c>
      <c r="AO59" s="3">
        <v>177.5</v>
      </c>
      <c r="AP59" s="3">
        <v>236.6</v>
      </c>
      <c r="AQ59" s="69">
        <v>11.18030823</v>
      </c>
      <c r="AY59" s="3">
        <v>65</v>
      </c>
      <c r="AZ59" s="3">
        <v>0</v>
      </c>
      <c r="BA59" s="3">
        <v>65</v>
      </c>
      <c r="BB59" s="3">
        <v>-30</v>
      </c>
      <c r="BE59" s="3">
        <v>60</v>
      </c>
      <c r="BF59" s="3">
        <v>-40</v>
      </c>
      <c r="BL59" s="68" t="s">
        <v>51</v>
      </c>
      <c r="BO59" s="3" t="s">
        <v>53</v>
      </c>
      <c r="BP59" s="3" t="s">
        <v>35</v>
      </c>
      <c r="CC59" s="80">
        <v>132.06903553299495</v>
      </c>
      <c r="CD59" s="80">
        <v>232.70914776917562</v>
      </c>
      <c r="CJ59" s="86">
        <v>1.9079573333333333</v>
      </c>
      <c r="CK59" s="86">
        <v>0</v>
      </c>
      <c r="CL59" s="86">
        <v>1.1274293333333334</v>
      </c>
      <c r="CM59" s="86">
        <v>2.8619360000000005</v>
      </c>
      <c r="CN59" s="86">
        <v>1.7778693333333335</v>
      </c>
      <c r="CO59" s="86">
        <v>0.26017600000000002</v>
      </c>
      <c r="CP59" s="86">
        <v>0</v>
      </c>
      <c r="CQ59" s="86">
        <v>0</v>
      </c>
      <c r="CR59" s="86">
        <v>1.1274293333333334</v>
      </c>
      <c r="CS59" s="87">
        <v>0.46004047377326568</v>
      </c>
    </row>
    <row r="60" spans="1:97">
      <c r="A60" s="5">
        <v>36</v>
      </c>
      <c r="B60" s="94" t="s">
        <v>346</v>
      </c>
      <c r="C60" s="122" t="s">
        <v>51</v>
      </c>
      <c r="D60" s="142" t="s">
        <v>348</v>
      </c>
      <c r="E60" s="3" t="s">
        <v>287</v>
      </c>
      <c r="F60" s="3">
        <v>271</v>
      </c>
      <c r="G60" s="3">
        <v>14.6</v>
      </c>
      <c r="H60" s="3">
        <v>12.88</v>
      </c>
      <c r="I60" s="3">
        <v>10</v>
      </c>
      <c r="J60" s="80">
        <v>3490.48</v>
      </c>
      <c r="L60" s="48">
        <v>1</v>
      </c>
      <c r="M60" s="48">
        <v>0</v>
      </c>
      <c r="AJ60" s="3">
        <v>25.2</v>
      </c>
      <c r="AN60" s="3">
        <v>337.5</v>
      </c>
      <c r="AO60" s="3">
        <v>177.5</v>
      </c>
      <c r="AP60" s="3">
        <v>236.6</v>
      </c>
      <c r="AQ60" s="69">
        <v>14.173818750000001</v>
      </c>
      <c r="AY60" s="3">
        <v>65</v>
      </c>
      <c r="AZ60" s="3">
        <v>0</v>
      </c>
      <c r="BA60" s="3">
        <v>65</v>
      </c>
      <c r="BB60" s="3">
        <v>-30</v>
      </c>
      <c r="BE60" s="3">
        <v>60</v>
      </c>
      <c r="BF60" s="3">
        <v>-40</v>
      </c>
      <c r="BL60" s="68" t="s">
        <v>51</v>
      </c>
      <c r="BO60" s="3" t="s">
        <v>53</v>
      </c>
      <c r="BP60" s="3" t="s">
        <v>35</v>
      </c>
      <c r="CC60" s="80">
        <v>138.51111111111112</v>
      </c>
      <c r="CD60" s="80">
        <v>246.26249718340725</v>
      </c>
      <c r="CJ60" s="86">
        <v>2.5596853333333329</v>
      </c>
      <c r="CK60" s="86">
        <v>0</v>
      </c>
      <c r="CL60" s="86">
        <v>1.5125413333333333</v>
      </c>
      <c r="CM60" s="86">
        <v>3.8395280000000001</v>
      </c>
      <c r="CN60" s="86">
        <v>2.3851613333333335</v>
      </c>
      <c r="CO60" s="86">
        <v>0.34904800000000002</v>
      </c>
      <c r="CP60" s="86">
        <v>0</v>
      </c>
      <c r="CQ60" s="86">
        <v>0</v>
      </c>
      <c r="CR60" s="86">
        <v>1.5125413333333333</v>
      </c>
      <c r="CS60" s="87">
        <v>0.48248037037037034</v>
      </c>
    </row>
    <row r="61" spans="1:97">
      <c r="A61" s="5">
        <v>36</v>
      </c>
      <c r="B61" s="94" t="s">
        <v>353</v>
      </c>
      <c r="C61" s="128" t="s">
        <v>352</v>
      </c>
      <c r="D61" s="3">
        <v>1</v>
      </c>
      <c r="E61" s="3" t="s">
        <v>287</v>
      </c>
      <c r="F61" s="67">
        <v>105</v>
      </c>
      <c r="H61" s="67">
        <v>32</v>
      </c>
      <c r="J61" s="69">
        <v>3360</v>
      </c>
      <c r="AK61" s="69">
        <v>19.8</v>
      </c>
      <c r="AN61" s="67">
        <v>411</v>
      </c>
      <c r="AO61" s="67">
        <v>136</v>
      </c>
      <c r="AP61" s="67">
        <v>206</v>
      </c>
      <c r="AQ61" s="69">
        <v>11.514576</v>
      </c>
      <c r="BL61" s="92" t="s">
        <v>59</v>
      </c>
      <c r="BM61" s="129" t="s">
        <v>254</v>
      </c>
      <c r="BN61" s="3" t="s">
        <v>141</v>
      </c>
      <c r="BO61" s="124" t="s">
        <v>53</v>
      </c>
      <c r="BP61" s="91" t="s">
        <v>35</v>
      </c>
      <c r="BR61" s="67">
        <v>105</v>
      </c>
      <c r="BS61" s="67">
        <v>3.2</v>
      </c>
      <c r="BT61" s="69">
        <v>336</v>
      </c>
      <c r="BU61" s="67">
        <v>1.98</v>
      </c>
      <c r="BV61" s="80">
        <v>169.69696969696969</v>
      </c>
      <c r="BW61" s="69">
        <v>359</v>
      </c>
      <c r="BX61" s="69">
        <v>1.1999999999999999E-3</v>
      </c>
      <c r="BZ61" s="67">
        <v>10</v>
      </c>
      <c r="CA61" s="67">
        <v>1</v>
      </c>
      <c r="CB61" s="69">
        <v>10</v>
      </c>
      <c r="CD61" s="80">
        <v>291.8040577438544</v>
      </c>
      <c r="CJ61" s="86">
        <v>2.4639999999999995</v>
      </c>
      <c r="CK61" s="86">
        <v>0</v>
      </c>
      <c r="CL61" s="86">
        <v>1.456</v>
      </c>
      <c r="CM61" s="86">
        <v>3.6960000000000002</v>
      </c>
      <c r="CN61" s="86">
        <v>2.2959999999999998</v>
      </c>
      <c r="CO61" s="86">
        <v>0.33600000000000002</v>
      </c>
      <c r="CP61" s="86">
        <v>0</v>
      </c>
      <c r="CQ61" s="86">
        <v>0</v>
      </c>
      <c r="CR61" s="86">
        <v>1.456</v>
      </c>
      <c r="CS61"/>
    </row>
    <row r="62" spans="1:97">
      <c r="A62" s="5">
        <v>36</v>
      </c>
      <c r="B62" s="94" t="s">
        <v>354</v>
      </c>
      <c r="C62" s="128" t="s">
        <v>352</v>
      </c>
      <c r="D62" s="3">
        <v>2</v>
      </c>
      <c r="E62" s="3" t="s">
        <v>287</v>
      </c>
      <c r="F62" s="67">
        <v>105</v>
      </c>
      <c r="H62" s="67">
        <v>38.4</v>
      </c>
      <c r="J62" s="69">
        <v>4032</v>
      </c>
      <c r="AK62" s="69">
        <v>23.759999999999998</v>
      </c>
      <c r="AN62" s="67">
        <v>440</v>
      </c>
      <c r="AO62" s="67">
        <v>136</v>
      </c>
      <c r="AP62" s="67">
        <v>206</v>
      </c>
      <c r="AQ62" s="69">
        <v>12.32704</v>
      </c>
      <c r="BL62" s="92" t="s">
        <v>59</v>
      </c>
      <c r="BM62" s="129" t="s">
        <v>254</v>
      </c>
      <c r="BN62" s="3" t="s">
        <v>141</v>
      </c>
      <c r="BO62" s="124" t="s">
        <v>53</v>
      </c>
      <c r="BP62" s="91" t="s">
        <v>35</v>
      </c>
      <c r="BR62" s="67">
        <v>105</v>
      </c>
      <c r="BS62" s="67">
        <v>3.2</v>
      </c>
      <c r="BT62" s="69">
        <v>336</v>
      </c>
      <c r="BU62" s="67">
        <v>1.98</v>
      </c>
      <c r="BV62" s="80">
        <v>169.69696969696969</v>
      </c>
      <c r="BW62" s="69">
        <v>359</v>
      </c>
      <c r="BX62" s="69">
        <v>1.1999999999999999E-3</v>
      </c>
      <c r="BZ62" s="67">
        <v>12</v>
      </c>
      <c r="CA62" s="67">
        <v>1</v>
      </c>
      <c r="CB62" s="69">
        <v>12</v>
      </c>
      <c r="CD62" s="80">
        <v>327.0858210892477</v>
      </c>
      <c r="CJ62" s="86">
        <v>2.9567999999999999</v>
      </c>
      <c r="CK62" s="86">
        <v>0</v>
      </c>
      <c r="CL62" s="86">
        <v>1.7472000000000001</v>
      </c>
      <c r="CM62" s="86">
        <v>4.4352</v>
      </c>
      <c r="CN62" s="86">
        <v>2.7551999999999999</v>
      </c>
      <c r="CO62" s="86">
        <v>0.4032</v>
      </c>
      <c r="CP62" s="86">
        <v>0</v>
      </c>
      <c r="CQ62" s="86">
        <v>0</v>
      </c>
      <c r="CR62" s="86">
        <v>1.7472000000000001</v>
      </c>
      <c r="CS62"/>
    </row>
    <row r="63" spans="1:97">
      <c r="A63" s="5">
        <v>36</v>
      </c>
      <c r="B63" s="94" t="s">
        <v>355</v>
      </c>
      <c r="C63" s="128" t="s">
        <v>352</v>
      </c>
      <c r="D63" s="3">
        <v>3</v>
      </c>
      <c r="E63" s="3" t="s">
        <v>287</v>
      </c>
      <c r="F63" s="67">
        <v>150</v>
      </c>
      <c r="H63" s="67">
        <v>89.6</v>
      </c>
      <c r="J63" s="69">
        <v>13440</v>
      </c>
      <c r="AK63" s="69">
        <v>79.240000000000009</v>
      </c>
      <c r="AN63" s="67">
        <v>993</v>
      </c>
      <c r="AO63" s="67">
        <v>208</v>
      </c>
      <c r="AP63" s="67">
        <v>213</v>
      </c>
      <c r="AQ63" s="69">
        <v>43.993872000000003</v>
      </c>
      <c r="BL63" s="68" t="s">
        <v>59</v>
      </c>
      <c r="BM63" t="s">
        <v>57</v>
      </c>
      <c r="BN63" s="3" t="s">
        <v>142</v>
      </c>
      <c r="BO63" s="124" t="s">
        <v>53</v>
      </c>
      <c r="BP63" s="91" t="s">
        <v>35</v>
      </c>
      <c r="BR63" s="67">
        <v>150</v>
      </c>
      <c r="BS63" s="67">
        <v>3.2</v>
      </c>
      <c r="BT63" s="69">
        <v>480</v>
      </c>
      <c r="BU63" s="67">
        <v>2.83</v>
      </c>
      <c r="BV63" s="80">
        <v>169.61130742049468</v>
      </c>
      <c r="BW63" s="69">
        <v>354</v>
      </c>
      <c r="BX63" s="69">
        <v>1.5E-3</v>
      </c>
      <c r="BZ63" s="67">
        <v>28</v>
      </c>
      <c r="CA63" s="67">
        <v>1</v>
      </c>
      <c r="CB63" s="69">
        <v>28</v>
      </c>
      <c r="CD63" s="80">
        <v>305.49709286784304</v>
      </c>
      <c r="CJ63" s="86">
        <v>9.8559999999999981</v>
      </c>
      <c r="CK63" s="86">
        <v>0</v>
      </c>
      <c r="CL63" s="86">
        <v>5.8239999999999998</v>
      </c>
      <c r="CM63" s="86">
        <v>14.784000000000001</v>
      </c>
      <c r="CN63" s="86">
        <v>9.1839999999999993</v>
      </c>
      <c r="CO63" s="86">
        <v>1.3440000000000001</v>
      </c>
      <c r="CP63" s="86">
        <v>0</v>
      </c>
      <c r="CQ63" s="86">
        <v>0</v>
      </c>
      <c r="CR63" s="86">
        <v>5.8239999999999998</v>
      </c>
    </row>
    <row r="64" spans="1:97">
      <c r="A64" s="5">
        <v>35</v>
      </c>
      <c r="B64" s="94" t="s">
        <v>356</v>
      </c>
      <c r="C64" s="128" t="s">
        <v>352</v>
      </c>
      <c r="D64" s="3">
        <v>4</v>
      </c>
      <c r="E64" s="3" t="s">
        <v>287</v>
      </c>
      <c r="F64" s="67">
        <v>173</v>
      </c>
      <c r="H64" s="67">
        <v>25.6</v>
      </c>
      <c r="J64" s="69">
        <v>4428.8</v>
      </c>
      <c r="AK64" s="69">
        <v>25.52</v>
      </c>
      <c r="AN64" s="67">
        <v>375</v>
      </c>
      <c r="AO64" s="67">
        <v>181</v>
      </c>
      <c r="AP64" s="67">
        <v>220</v>
      </c>
      <c r="AQ64" s="69">
        <v>14.932499999999999</v>
      </c>
      <c r="BL64" s="68" t="s">
        <v>59</v>
      </c>
      <c r="BM64" t="s">
        <v>58</v>
      </c>
      <c r="BN64" s="3" t="s">
        <v>143</v>
      </c>
      <c r="BO64" s="124" t="s">
        <v>53</v>
      </c>
      <c r="BP64" s="91" t="s">
        <v>35</v>
      </c>
      <c r="BR64" s="67">
        <v>173</v>
      </c>
      <c r="BS64" s="67">
        <v>3.2</v>
      </c>
      <c r="BT64" s="69">
        <v>553.6</v>
      </c>
      <c r="BU64" s="67">
        <v>3.19</v>
      </c>
      <c r="BV64" s="80">
        <v>173.54231974921632</v>
      </c>
      <c r="BW64" s="3">
        <v>377</v>
      </c>
      <c r="BZ64" s="67">
        <v>8</v>
      </c>
      <c r="CA64" s="67">
        <v>1</v>
      </c>
      <c r="CB64" s="69">
        <v>8</v>
      </c>
      <c r="CD64" s="80">
        <v>296.58797923991295</v>
      </c>
      <c r="CJ64" s="86">
        <v>3.2477866666666664</v>
      </c>
      <c r="CK64" s="86">
        <v>0</v>
      </c>
      <c r="CL64" s="86">
        <v>1.9191466666666666</v>
      </c>
      <c r="CM64" s="86">
        <v>4.8716800000000005</v>
      </c>
      <c r="CN64" s="86">
        <v>3.0263466666666665</v>
      </c>
      <c r="CO64" s="86">
        <v>0.44288</v>
      </c>
      <c r="CP64" s="86">
        <v>0</v>
      </c>
      <c r="CQ64" s="86">
        <v>0</v>
      </c>
      <c r="CR64" s="86">
        <v>1.9191466666666666</v>
      </c>
    </row>
    <row r="65" spans="1:97">
      <c r="A65" s="5">
        <v>35</v>
      </c>
      <c r="B65" s="94" t="s">
        <v>357</v>
      </c>
      <c r="C65" s="128" t="s">
        <v>352</v>
      </c>
      <c r="D65" s="3">
        <v>5</v>
      </c>
      <c r="E65" s="3" t="s">
        <v>287</v>
      </c>
      <c r="F65" s="67">
        <v>173</v>
      </c>
      <c r="H65" s="67">
        <v>38.4</v>
      </c>
      <c r="J65" s="69">
        <v>6643.2</v>
      </c>
      <c r="AK65" s="69">
        <v>38.28</v>
      </c>
      <c r="AN65" s="67">
        <v>542</v>
      </c>
      <c r="AO65" s="67">
        <v>180</v>
      </c>
      <c r="AP65" s="67">
        <v>217</v>
      </c>
      <c r="AQ65" s="69">
        <v>21.17052</v>
      </c>
      <c r="BL65" s="68" t="s">
        <v>59</v>
      </c>
      <c r="BM65" t="s">
        <v>58</v>
      </c>
      <c r="BN65" s="3" t="s">
        <v>143</v>
      </c>
      <c r="BO65" s="124" t="s">
        <v>53</v>
      </c>
      <c r="BP65" s="91" t="s">
        <v>35</v>
      </c>
      <c r="BR65" s="67">
        <v>173</v>
      </c>
      <c r="BS65" s="67">
        <v>3.2</v>
      </c>
      <c r="BT65" s="69">
        <v>553.6</v>
      </c>
      <c r="BU65" s="67">
        <v>3.19</v>
      </c>
      <c r="BV65" s="80">
        <v>173.54231974921632</v>
      </c>
      <c r="BW65" s="3">
        <v>377</v>
      </c>
      <c r="BZ65" s="67">
        <v>12</v>
      </c>
      <c r="CA65" s="67">
        <v>1</v>
      </c>
      <c r="CB65" s="69">
        <v>12</v>
      </c>
      <c r="CD65" s="80">
        <v>313.79484301755457</v>
      </c>
      <c r="CJ65" s="86">
        <v>4.8716799999999996</v>
      </c>
      <c r="CK65" s="86">
        <v>0</v>
      </c>
      <c r="CL65" s="86">
        <v>2.8787200000000004</v>
      </c>
      <c r="CM65" s="86">
        <v>7.3075200000000011</v>
      </c>
      <c r="CN65" s="86">
        <v>4.5395200000000004</v>
      </c>
      <c r="CO65" s="86">
        <v>0.66432000000000002</v>
      </c>
      <c r="CP65" s="86">
        <v>0</v>
      </c>
      <c r="CQ65" s="86">
        <v>0</v>
      </c>
      <c r="CR65" s="86">
        <v>2.8787200000000004</v>
      </c>
    </row>
    <row r="66" spans="1:97">
      <c r="A66" s="5">
        <v>35</v>
      </c>
      <c r="B66" s="94" t="s">
        <v>358</v>
      </c>
      <c r="C66" s="128" t="s">
        <v>352</v>
      </c>
      <c r="D66" s="3">
        <v>6</v>
      </c>
      <c r="E66" s="3" t="s">
        <v>287</v>
      </c>
      <c r="F66" s="67">
        <v>230</v>
      </c>
      <c r="H66" s="67">
        <v>38.4</v>
      </c>
      <c r="J66" s="69">
        <v>8832</v>
      </c>
      <c r="AK66" s="69">
        <v>49.320000000000007</v>
      </c>
      <c r="AN66" s="67">
        <v>694</v>
      </c>
      <c r="AO66" s="67">
        <v>181</v>
      </c>
      <c r="AP66" s="67">
        <v>217</v>
      </c>
      <c r="AQ66" s="69">
        <v>27.258237999999999</v>
      </c>
      <c r="BL66" s="68" t="s">
        <v>59</v>
      </c>
      <c r="BM66" t="s">
        <v>60</v>
      </c>
      <c r="BN66" s="3" t="s">
        <v>144</v>
      </c>
      <c r="BO66" s="124" t="s">
        <v>53</v>
      </c>
      <c r="BP66" s="91" t="s">
        <v>35</v>
      </c>
      <c r="BR66" s="67">
        <v>230</v>
      </c>
      <c r="BS66" s="67">
        <v>3.2</v>
      </c>
      <c r="BT66" s="69">
        <v>736</v>
      </c>
      <c r="BU66" s="3">
        <v>4.1100000000000003</v>
      </c>
      <c r="BV66" s="80">
        <v>179.07542579075425</v>
      </c>
      <c r="BW66" s="3">
        <v>379</v>
      </c>
      <c r="BZ66" s="67">
        <v>12</v>
      </c>
      <c r="CA66" s="67">
        <v>1</v>
      </c>
      <c r="CB66" s="69">
        <v>12</v>
      </c>
      <c r="CD66" s="80">
        <v>324.01213900913189</v>
      </c>
      <c r="CJ66" s="86">
        <v>6.4767999999999999</v>
      </c>
      <c r="CK66" s="86">
        <v>0</v>
      </c>
      <c r="CL66" s="86">
        <v>3.8272000000000004</v>
      </c>
      <c r="CM66" s="86">
        <v>9.7152000000000012</v>
      </c>
      <c r="CN66" s="86">
        <v>6.0352000000000006</v>
      </c>
      <c r="CO66" s="86">
        <v>0.8832000000000001</v>
      </c>
      <c r="CP66" s="86">
        <v>0</v>
      </c>
      <c r="CQ66" s="86">
        <v>0</v>
      </c>
      <c r="CR66" s="86">
        <v>3.8272000000000004</v>
      </c>
    </row>
    <row r="67" spans="1:97">
      <c r="A67" s="5">
        <v>35</v>
      </c>
      <c r="B67" s="94" t="s">
        <v>359</v>
      </c>
      <c r="C67" s="128" t="s">
        <v>352</v>
      </c>
      <c r="D67" s="3">
        <v>7</v>
      </c>
      <c r="E67" s="3" t="s">
        <v>287</v>
      </c>
      <c r="F67" s="67">
        <v>230</v>
      </c>
      <c r="H67" s="67">
        <v>44.8</v>
      </c>
      <c r="J67" s="69">
        <v>10304</v>
      </c>
      <c r="AK67" s="69">
        <v>57.540000000000006</v>
      </c>
      <c r="AN67" s="67">
        <v>803</v>
      </c>
      <c r="AO67" s="67">
        <v>179</v>
      </c>
      <c r="AP67" s="67">
        <v>210</v>
      </c>
      <c r="AQ67" s="69">
        <v>30.18477</v>
      </c>
      <c r="BL67" s="68" t="s">
        <v>59</v>
      </c>
      <c r="BM67" t="s">
        <v>60</v>
      </c>
      <c r="BN67" s="3" t="s">
        <v>144</v>
      </c>
      <c r="BO67" s="124" t="s">
        <v>53</v>
      </c>
      <c r="BP67" s="91" t="s">
        <v>35</v>
      </c>
      <c r="BR67" s="67">
        <v>230</v>
      </c>
      <c r="BS67" s="67">
        <v>3.2</v>
      </c>
      <c r="BT67" s="69">
        <v>736</v>
      </c>
      <c r="BU67" s="3">
        <v>4.1100000000000003</v>
      </c>
      <c r="BV67" s="80">
        <v>179.07542579075425</v>
      </c>
      <c r="BW67" s="3">
        <v>379</v>
      </c>
      <c r="BZ67" s="67">
        <v>14</v>
      </c>
      <c r="CA67" s="67">
        <v>1</v>
      </c>
      <c r="CB67" s="69">
        <v>14</v>
      </c>
      <c r="CD67" s="80">
        <v>341.36420453096048</v>
      </c>
      <c r="CJ67" s="86">
        <v>7.5562666666666667</v>
      </c>
      <c r="CK67" s="86">
        <v>0</v>
      </c>
      <c r="CL67" s="86">
        <v>4.465066666666667</v>
      </c>
      <c r="CM67" s="86">
        <v>11.3344</v>
      </c>
      <c r="CN67" s="86">
        <v>7.0410666666666666</v>
      </c>
      <c r="CO67" s="86">
        <v>1.0304</v>
      </c>
      <c r="CP67" s="86">
        <v>0</v>
      </c>
      <c r="CQ67" s="86">
        <v>0</v>
      </c>
      <c r="CR67" s="86">
        <v>4.465066666666667</v>
      </c>
    </row>
    <row r="68" spans="1:97">
      <c r="A68" s="5">
        <v>35</v>
      </c>
      <c r="B68" s="94" t="s">
        <v>360</v>
      </c>
      <c r="C68" s="128" t="s">
        <v>352</v>
      </c>
      <c r="D68" s="3">
        <v>8</v>
      </c>
      <c r="E68" s="3" t="s">
        <v>287</v>
      </c>
      <c r="F68" s="67">
        <v>230</v>
      </c>
      <c r="H68" s="67">
        <v>51.2</v>
      </c>
      <c r="J68" s="69">
        <v>11776</v>
      </c>
      <c r="AK68" s="69">
        <v>65.760000000000005</v>
      </c>
      <c r="AN68" s="67">
        <v>907</v>
      </c>
      <c r="AO68" s="67">
        <v>180</v>
      </c>
      <c r="AP68" s="67">
        <v>207</v>
      </c>
      <c r="AQ68" s="69">
        <v>33.794820000000001</v>
      </c>
      <c r="BL68" s="68" t="s">
        <v>59</v>
      </c>
      <c r="BM68" t="s">
        <v>60</v>
      </c>
      <c r="BN68" s="3" t="s">
        <v>144</v>
      </c>
      <c r="BO68" s="124" t="s">
        <v>53</v>
      </c>
      <c r="BP68" s="91" t="s">
        <v>35</v>
      </c>
      <c r="BR68" s="67">
        <v>230</v>
      </c>
      <c r="BS68" s="67">
        <v>3.2</v>
      </c>
      <c r="BT68" s="69">
        <v>736</v>
      </c>
      <c r="BU68" s="3">
        <v>4.1100000000000003</v>
      </c>
      <c r="BV68" s="80">
        <v>179.07542579075425</v>
      </c>
      <c r="BW68" s="3">
        <v>379</v>
      </c>
      <c r="BZ68" s="67">
        <v>16</v>
      </c>
      <c r="CA68" s="67">
        <v>1</v>
      </c>
      <c r="CB68" s="69">
        <v>16</v>
      </c>
      <c r="CD68" s="80">
        <v>348.4557692569453</v>
      </c>
      <c r="CJ68" s="86">
        <v>8.6357333333333326</v>
      </c>
      <c r="CK68" s="86">
        <v>0</v>
      </c>
      <c r="CL68" s="86">
        <v>5.1029333333333335</v>
      </c>
      <c r="CM68" s="86">
        <v>12.953600000000002</v>
      </c>
      <c r="CN68" s="86">
        <v>8.0469333333333335</v>
      </c>
      <c r="CO68" s="86">
        <v>1.1776</v>
      </c>
      <c r="CP68" s="86">
        <v>0</v>
      </c>
      <c r="CQ68" s="86">
        <v>0</v>
      </c>
      <c r="CR68" s="86">
        <v>5.1029333333333335</v>
      </c>
    </row>
    <row r="69" spans="1:97">
      <c r="A69" s="5">
        <v>35</v>
      </c>
      <c r="B69" s="94" t="s">
        <v>361</v>
      </c>
      <c r="C69" s="128" t="s">
        <v>352</v>
      </c>
      <c r="D69" s="3">
        <v>9</v>
      </c>
      <c r="E69" s="3" t="s">
        <v>287</v>
      </c>
      <c r="F69" s="67">
        <v>304</v>
      </c>
      <c r="H69" s="67">
        <v>12.8</v>
      </c>
      <c r="J69" s="69">
        <v>3891.2000000000003</v>
      </c>
      <c r="AK69" s="69">
        <v>21.8</v>
      </c>
      <c r="AN69" s="67">
        <v>330</v>
      </c>
      <c r="AO69" s="67">
        <v>179</v>
      </c>
      <c r="AP69" s="67">
        <v>218</v>
      </c>
      <c r="AQ69" s="69">
        <v>12.87726</v>
      </c>
      <c r="BL69" s="68" t="s">
        <v>59</v>
      </c>
      <c r="BM69" t="s">
        <v>61</v>
      </c>
      <c r="BN69" s="3" t="s">
        <v>145</v>
      </c>
      <c r="BO69" s="124" t="s">
        <v>53</v>
      </c>
      <c r="BP69" s="91" t="s">
        <v>35</v>
      </c>
      <c r="BR69" s="67">
        <v>304</v>
      </c>
      <c r="BS69" s="67">
        <v>3.2</v>
      </c>
      <c r="BT69" s="69">
        <v>972.80000000000007</v>
      </c>
      <c r="BU69" s="3">
        <v>5.45</v>
      </c>
      <c r="BV69" s="80">
        <v>178.49541284403671</v>
      </c>
      <c r="BW69" s="3">
        <v>382</v>
      </c>
      <c r="BZ69" s="67">
        <v>4</v>
      </c>
      <c r="CA69" s="67">
        <v>1</v>
      </c>
      <c r="CB69" s="69">
        <v>4</v>
      </c>
      <c r="CD69" s="80">
        <v>302.1760840427234</v>
      </c>
      <c r="CJ69" s="86">
        <v>2.8535466666666669</v>
      </c>
      <c r="CK69" s="86">
        <v>0</v>
      </c>
      <c r="CL69" s="86">
        <v>1.6861866666666669</v>
      </c>
      <c r="CM69" s="86">
        <v>4.2803200000000006</v>
      </c>
      <c r="CN69" s="86">
        <v>2.6589866666666668</v>
      </c>
      <c r="CO69" s="86">
        <v>0.38912000000000008</v>
      </c>
      <c r="CP69" s="86">
        <v>0</v>
      </c>
      <c r="CQ69" s="86">
        <v>0</v>
      </c>
      <c r="CR69" s="86">
        <v>1.6861866666666669</v>
      </c>
    </row>
    <row r="70" spans="1:97">
      <c r="A70" s="5">
        <v>35</v>
      </c>
      <c r="B70" s="94" t="s">
        <v>362</v>
      </c>
      <c r="C70" s="128" t="s">
        <v>352</v>
      </c>
      <c r="D70" s="3">
        <v>10</v>
      </c>
      <c r="E70" s="3" t="s">
        <v>287</v>
      </c>
      <c r="F70" s="67">
        <v>304</v>
      </c>
      <c r="H70" s="67">
        <v>32</v>
      </c>
      <c r="J70" s="69">
        <v>9728</v>
      </c>
      <c r="AK70" s="69">
        <v>54.5</v>
      </c>
      <c r="AN70" s="67">
        <v>763</v>
      </c>
      <c r="AO70" s="67">
        <v>179</v>
      </c>
      <c r="AP70" s="67">
        <v>218</v>
      </c>
      <c r="AQ70" s="69">
        <v>29.773786000000001</v>
      </c>
      <c r="BL70" s="68" t="s">
        <v>59</v>
      </c>
      <c r="BM70" t="s">
        <v>61</v>
      </c>
      <c r="BN70" s="3" t="s">
        <v>145</v>
      </c>
      <c r="BO70" s="124" t="s">
        <v>53</v>
      </c>
      <c r="BP70" s="91" t="s">
        <v>35</v>
      </c>
      <c r="BR70" s="67">
        <v>304</v>
      </c>
      <c r="BS70" s="67">
        <v>3.2</v>
      </c>
      <c r="BT70" s="69">
        <v>972.80000000000007</v>
      </c>
      <c r="BU70" s="3">
        <v>5.45</v>
      </c>
      <c r="BV70" s="80">
        <v>178.49541284403671</v>
      </c>
      <c r="BW70" s="3">
        <v>382</v>
      </c>
      <c r="BZ70" s="67">
        <v>10</v>
      </c>
      <c r="CA70" s="67">
        <v>1</v>
      </c>
      <c r="CB70" s="69">
        <v>10</v>
      </c>
      <c r="CD70" s="80">
        <v>326.73036610124086</v>
      </c>
      <c r="CJ70" s="86">
        <v>7.1338666666666661</v>
      </c>
      <c r="CK70" s="86">
        <v>0</v>
      </c>
      <c r="CL70" s="86">
        <v>4.2154666666666669</v>
      </c>
      <c r="CM70" s="86">
        <v>10.700800000000001</v>
      </c>
      <c r="CN70" s="86">
        <v>6.6474666666666664</v>
      </c>
      <c r="CO70" s="86">
        <v>0.9728</v>
      </c>
      <c r="CP70" s="86">
        <v>0</v>
      </c>
      <c r="CQ70" s="86">
        <v>0</v>
      </c>
      <c r="CR70" s="86">
        <v>4.2154666666666669</v>
      </c>
    </row>
    <row r="71" spans="1:97">
      <c r="A71" s="5">
        <v>35</v>
      </c>
      <c r="B71" s="94" t="s">
        <v>363</v>
      </c>
      <c r="C71" s="128" t="s">
        <v>352</v>
      </c>
      <c r="D71" s="3">
        <v>11</v>
      </c>
      <c r="E71" s="3" t="s">
        <v>287</v>
      </c>
      <c r="F71" s="67">
        <v>304</v>
      </c>
      <c r="H71" s="67">
        <v>38.4</v>
      </c>
      <c r="J71" s="69">
        <v>11673.6</v>
      </c>
      <c r="AK71" s="69">
        <v>65.400000000000006</v>
      </c>
      <c r="AN71" s="67">
        <v>907</v>
      </c>
      <c r="AO71" s="67">
        <v>180</v>
      </c>
      <c r="AP71" s="67">
        <v>207</v>
      </c>
      <c r="AQ71" s="69">
        <v>33.794820000000001</v>
      </c>
      <c r="BL71" s="68" t="s">
        <v>59</v>
      </c>
      <c r="BM71" t="s">
        <v>61</v>
      </c>
      <c r="BN71" s="3" t="s">
        <v>145</v>
      </c>
      <c r="BO71" s="124" t="s">
        <v>53</v>
      </c>
      <c r="BP71" s="91" t="s">
        <v>35</v>
      </c>
      <c r="BR71" s="67">
        <v>304</v>
      </c>
      <c r="BS71" s="67">
        <v>3.2</v>
      </c>
      <c r="BT71" s="69">
        <v>972.80000000000007</v>
      </c>
      <c r="BU71" s="3">
        <v>5.45</v>
      </c>
      <c r="BV71" s="80">
        <v>178.49541284403671</v>
      </c>
      <c r="BW71" s="3">
        <v>382</v>
      </c>
      <c r="BZ71" s="67">
        <v>12</v>
      </c>
      <c r="CA71" s="67">
        <v>1</v>
      </c>
      <c r="CB71" s="69">
        <v>12</v>
      </c>
      <c r="CD71" s="80">
        <v>345.42571908949361</v>
      </c>
      <c r="CJ71" s="86">
        <v>8.5606399999999994</v>
      </c>
      <c r="CK71" s="86">
        <v>0</v>
      </c>
      <c r="CL71" s="86">
        <v>5.0585599999999999</v>
      </c>
      <c r="CM71" s="86">
        <v>12.840960000000001</v>
      </c>
      <c r="CN71" s="86">
        <v>7.9769600000000001</v>
      </c>
      <c r="CO71" s="86">
        <v>1.1673600000000002</v>
      </c>
      <c r="CP71" s="86">
        <v>0</v>
      </c>
      <c r="CQ71" s="86">
        <v>0</v>
      </c>
      <c r="CR71" s="86">
        <v>5.0585599999999999</v>
      </c>
    </row>
    <row r="72" spans="1:97">
      <c r="A72" s="5">
        <v>28</v>
      </c>
      <c r="B72" s="94" t="s">
        <v>364</v>
      </c>
      <c r="C72" s="128" t="s">
        <v>352</v>
      </c>
      <c r="D72" s="3">
        <v>12</v>
      </c>
      <c r="E72" s="3" t="s">
        <v>287</v>
      </c>
      <c r="F72" s="67">
        <v>304</v>
      </c>
      <c r="H72" s="67">
        <v>44.8</v>
      </c>
      <c r="J72" s="69">
        <v>13619.199999999999</v>
      </c>
      <c r="AN72" s="67">
        <v>1053</v>
      </c>
      <c r="AO72" s="67">
        <v>180</v>
      </c>
      <c r="AP72" s="67">
        <v>213</v>
      </c>
      <c r="AQ72" s="69">
        <v>40.372019999999999</v>
      </c>
      <c r="BL72" s="68" t="s">
        <v>63</v>
      </c>
      <c r="BO72" s="124" t="s">
        <v>53</v>
      </c>
      <c r="BR72" s="67">
        <v>304</v>
      </c>
      <c r="BS72" s="67">
        <v>3.2</v>
      </c>
      <c r="BT72" s="69">
        <v>972.80000000000007</v>
      </c>
      <c r="BZ72" s="67">
        <v>14</v>
      </c>
      <c r="CA72" s="67">
        <v>1</v>
      </c>
      <c r="CB72" s="69">
        <v>14</v>
      </c>
      <c r="CD72" s="80">
        <v>337.34254565414363</v>
      </c>
      <c r="CJ72" s="86">
        <v>9.9874133333333326</v>
      </c>
      <c r="CK72" s="86">
        <v>0</v>
      </c>
      <c r="CL72" s="86">
        <v>5.901653333333333</v>
      </c>
      <c r="CM72" s="86">
        <v>14.981120000000001</v>
      </c>
      <c r="CN72" s="86">
        <v>9.3064533333333337</v>
      </c>
      <c r="CO72" s="86">
        <v>1.36192</v>
      </c>
      <c r="CP72" s="86">
        <v>0</v>
      </c>
      <c r="CQ72" s="86">
        <v>0</v>
      </c>
      <c r="CR72" s="86">
        <v>5.901653333333333</v>
      </c>
    </row>
    <row r="73" spans="1:97">
      <c r="A73" s="5">
        <v>35</v>
      </c>
      <c r="B73" s="94" t="s">
        <v>365</v>
      </c>
      <c r="C73" s="128" t="s">
        <v>352</v>
      </c>
      <c r="D73" s="3">
        <v>13</v>
      </c>
      <c r="E73" s="3" t="s">
        <v>287</v>
      </c>
      <c r="F73" s="67">
        <v>230</v>
      </c>
      <c r="H73" s="67">
        <v>28.8</v>
      </c>
      <c r="J73" s="69">
        <v>6624</v>
      </c>
      <c r="AK73" s="69">
        <v>37.800000000000004</v>
      </c>
      <c r="AN73" s="67">
        <v>528</v>
      </c>
      <c r="AO73" s="67">
        <v>177</v>
      </c>
      <c r="AP73" s="67">
        <v>207</v>
      </c>
      <c r="AQ73" s="69">
        <v>19.345392</v>
      </c>
      <c r="BL73" s="68" t="s">
        <v>63</v>
      </c>
      <c r="BM73" t="s">
        <v>104</v>
      </c>
      <c r="BN73" s="3" t="s">
        <v>138</v>
      </c>
      <c r="BO73" s="124" t="s">
        <v>53</v>
      </c>
      <c r="BP73" s="3" t="s">
        <v>35</v>
      </c>
      <c r="BR73" s="67">
        <v>230</v>
      </c>
      <c r="BS73" s="67">
        <v>3.2</v>
      </c>
      <c r="BT73" s="69">
        <v>736</v>
      </c>
      <c r="BU73" s="3">
        <v>4.2</v>
      </c>
      <c r="BV73" s="80">
        <v>175.23809523809524</v>
      </c>
      <c r="BW73" s="3">
        <v>385</v>
      </c>
      <c r="BZ73" s="67">
        <v>9</v>
      </c>
      <c r="CA73" s="67">
        <v>1</v>
      </c>
      <c r="CB73" s="69">
        <v>9</v>
      </c>
      <c r="CD73" s="80">
        <v>342.40712206813902</v>
      </c>
      <c r="CJ73" s="86">
        <v>4.8575999999999997</v>
      </c>
      <c r="CK73" s="86">
        <v>0</v>
      </c>
      <c r="CL73" s="86">
        <v>2.8704000000000001</v>
      </c>
      <c r="CM73" s="86">
        <v>7.2864000000000004</v>
      </c>
      <c r="CN73" s="86">
        <v>4.5263999999999998</v>
      </c>
      <c r="CO73" s="86">
        <v>0.66239999999999999</v>
      </c>
      <c r="CP73" s="86">
        <v>0</v>
      </c>
      <c r="CQ73" s="86">
        <v>0</v>
      </c>
      <c r="CR73" s="86">
        <v>2.8704000000000001</v>
      </c>
    </row>
    <row r="74" spans="1:97">
      <c r="A74" s="5">
        <v>35</v>
      </c>
      <c r="B74" s="94" t="s">
        <v>366</v>
      </c>
      <c r="C74" s="128" t="s">
        <v>352</v>
      </c>
      <c r="D74" s="3">
        <v>14</v>
      </c>
      <c r="E74" s="3" t="s">
        <v>287</v>
      </c>
      <c r="F74" s="67">
        <v>230</v>
      </c>
      <c r="H74" s="67">
        <v>51.2</v>
      </c>
      <c r="J74" s="69">
        <v>11776</v>
      </c>
      <c r="AK74" s="69">
        <v>67.2</v>
      </c>
      <c r="AN74" s="67">
        <v>907</v>
      </c>
      <c r="AO74" s="67">
        <v>180</v>
      </c>
      <c r="AP74" s="67">
        <v>207</v>
      </c>
      <c r="AQ74" s="69">
        <v>33.794820000000001</v>
      </c>
      <c r="BL74" s="68" t="s">
        <v>63</v>
      </c>
      <c r="BM74" t="s">
        <v>104</v>
      </c>
      <c r="BN74" s="3" t="s">
        <v>138</v>
      </c>
      <c r="BO74" s="124" t="s">
        <v>53</v>
      </c>
      <c r="BP74" s="3" t="s">
        <v>35</v>
      </c>
      <c r="BR74" s="67">
        <v>230</v>
      </c>
      <c r="BS74" s="67">
        <v>3.2</v>
      </c>
      <c r="BT74" s="69">
        <v>736</v>
      </c>
      <c r="BU74" s="3">
        <v>4.2</v>
      </c>
      <c r="BV74" s="80">
        <v>175.23809523809524</v>
      </c>
      <c r="BW74" s="3">
        <v>385</v>
      </c>
      <c r="BZ74" s="67">
        <v>16</v>
      </c>
      <c r="CA74" s="67">
        <v>1</v>
      </c>
      <c r="CB74" s="69">
        <v>16</v>
      </c>
      <c r="CD74" s="80">
        <v>348.4557692569453</v>
      </c>
      <c r="CJ74" s="86">
        <v>8.6357333333333326</v>
      </c>
      <c r="CK74" s="86">
        <v>0</v>
      </c>
      <c r="CL74" s="86">
        <v>5.1029333333333335</v>
      </c>
      <c r="CM74" s="86">
        <v>12.953600000000002</v>
      </c>
      <c r="CN74" s="86">
        <v>8.0469333333333335</v>
      </c>
      <c r="CO74" s="86">
        <v>1.1776</v>
      </c>
      <c r="CP74" s="86">
        <v>0</v>
      </c>
      <c r="CQ74" s="86">
        <v>0</v>
      </c>
      <c r="CR74" s="86">
        <v>5.1029333333333335</v>
      </c>
    </row>
    <row r="75" spans="1:97">
      <c r="A75" s="5">
        <v>33</v>
      </c>
      <c r="B75" s="94" t="s">
        <v>367</v>
      </c>
      <c r="C75" s="128" t="s">
        <v>352</v>
      </c>
      <c r="D75" s="3">
        <v>15</v>
      </c>
      <c r="E75" s="3" t="s">
        <v>287</v>
      </c>
      <c r="F75" s="67">
        <v>314</v>
      </c>
      <c r="H75" s="67">
        <v>38.4</v>
      </c>
      <c r="J75" s="69">
        <v>12057.6</v>
      </c>
      <c r="AK75" s="69">
        <v>67.320000000000007</v>
      </c>
      <c r="AN75" s="67">
        <v>907</v>
      </c>
      <c r="AO75" s="67">
        <v>180</v>
      </c>
      <c r="AP75" s="67">
        <v>207</v>
      </c>
      <c r="AQ75" s="69">
        <v>33.794820000000001</v>
      </c>
      <c r="BL75" s="68" t="s">
        <v>62</v>
      </c>
      <c r="BN75" s="3" t="s">
        <v>157</v>
      </c>
      <c r="BO75" s="124" t="s">
        <v>53</v>
      </c>
      <c r="BP75" s="3" t="s">
        <v>35</v>
      </c>
      <c r="BR75" s="67">
        <v>314</v>
      </c>
      <c r="BS75" s="67">
        <v>3.2</v>
      </c>
      <c r="BT75" s="69">
        <v>1004.8000000000001</v>
      </c>
      <c r="BU75" s="3">
        <v>5.61</v>
      </c>
      <c r="BV75" s="80">
        <v>179.10873440285206</v>
      </c>
      <c r="BZ75" s="67">
        <v>12</v>
      </c>
      <c r="CA75" s="67">
        <v>1</v>
      </c>
      <c r="CB75" s="69">
        <v>12</v>
      </c>
      <c r="CD75" s="80">
        <v>356.78840721743745</v>
      </c>
      <c r="CJ75" s="86">
        <v>8.8422400000000003</v>
      </c>
      <c r="CK75" s="86">
        <v>0</v>
      </c>
      <c r="CL75" s="86">
        <v>5.2249600000000003</v>
      </c>
      <c r="CM75" s="86">
        <v>13.263360000000002</v>
      </c>
      <c r="CN75" s="86">
        <v>8.2393600000000013</v>
      </c>
      <c r="CO75" s="86">
        <v>1.2057600000000002</v>
      </c>
      <c r="CP75" s="86">
        <v>0</v>
      </c>
      <c r="CQ75" s="86">
        <v>0</v>
      </c>
      <c r="CR75" s="86">
        <v>5.2249600000000003</v>
      </c>
    </row>
    <row r="76" spans="1:97">
      <c r="A76" s="5">
        <v>28</v>
      </c>
      <c r="B76" s="94" t="s">
        <v>368</v>
      </c>
      <c r="C76" s="128" t="s">
        <v>352</v>
      </c>
      <c r="D76" s="3">
        <v>16</v>
      </c>
      <c r="E76" s="3" t="s">
        <v>287</v>
      </c>
      <c r="F76" s="67">
        <v>230</v>
      </c>
      <c r="H76" s="67">
        <v>19.2</v>
      </c>
      <c r="J76" s="69">
        <v>4416</v>
      </c>
      <c r="AN76" s="67">
        <v>692</v>
      </c>
      <c r="AO76" s="67">
        <v>179</v>
      </c>
      <c r="AP76" s="67">
        <v>207</v>
      </c>
      <c r="AQ76" s="69">
        <v>25.640675999999999</v>
      </c>
      <c r="BL76" s="68" t="s">
        <v>62</v>
      </c>
      <c r="BO76" s="124" t="s">
        <v>53</v>
      </c>
      <c r="BR76" s="67">
        <v>115</v>
      </c>
      <c r="BS76" s="67">
        <v>3.2</v>
      </c>
      <c r="BT76" s="69">
        <v>368</v>
      </c>
      <c r="BZ76" s="67">
        <v>6</v>
      </c>
      <c r="CA76" s="67">
        <v>2</v>
      </c>
      <c r="CB76" s="69">
        <v>12</v>
      </c>
      <c r="CD76" s="80">
        <v>172.22634847848786</v>
      </c>
      <c r="CJ76" s="86">
        <v>3.2383999999999999</v>
      </c>
      <c r="CK76" s="86">
        <v>0</v>
      </c>
      <c r="CL76" s="86">
        <v>1.9136000000000002</v>
      </c>
      <c r="CM76" s="86">
        <v>4.8576000000000006</v>
      </c>
      <c r="CN76" s="86">
        <v>3.0176000000000003</v>
      </c>
      <c r="CO76" s="86">
        <v>0.44160000000000005</v>
      </c>
      <c r="CP76" s="86">
        <v>0</v>
      </c>
      <c r="CQ76" s="86">
        <v>0</v>
      </c>
      <c r="CR76" s="86">
        <v>1.9136000000000002</v>
      </c>
    </row>
    <row r="77" spans="1:97">
      <c r="A77" s="5">
        <v>28</v>
      </c>
      <c r="B77" s="94" t="s">
        <v>369</v>
      </c>
      <c r="C77" s="128" t="s">
        <v>352</v>
      </c>
      <c r="D77" s="3">
        <v>17</v>
      </c>
      <c r="E77" s="3" t="s">
        <v>287</v>
      </c>
      <c r="F77" s="67">
        <v>230</v>
      </c>
      <c r="H77" s="67">
        <v>25.6</v>
      </c>
      <c r="J77" s="69">
        <v>5888</v>
      </c>
      <c r="AN77" s="67">
        <v>907</v>
      </c>
      <c r="AO77" s="67">
        <v>180</v>
      </c>
      <c r="AP77" s="67">
        <v>207</v>
      </c>
      <c r="AQ77" s="69">
        <v>33.794820000000001</v>
      </c>
      <c r="BL77" s="68" t="s">
        <v>62</v>
      </c>
      <c r="BO77" s="124" t="s">
        <v>53</v>
      </c>
      <c r="BR77" s="67">
        <v>115</v>
      </c>
      <c r="BS77" s="67">
        <v>3.2</v>
      </c>
      <c r="BT77" s="69">
        <v>368</v>
      </c>
      <c r="BZ77" s="67">
        <v>8</v>
      </c>
      <c r="CA77" s="67">
        <v>2</v>
      </c>
      <c r="CB77" s="69">
        <v>16</v>
      </c>
      <c r="CD77" s="80">
        <v>174.22788462847265</v>
      </c>
      <c r="CJ77" s="86">
        <v>4.3178666666666663</v>
      </c>
      <c r="CK77" s="86">
        <v>0</v>
      </c>
      <c r="CL77" s="86">
        <v>2.5514666666666668</v>
      </c>
      <c r="CM77" s="86">
        <v>6.4768000000000008</v>
      </c>
      <c r="CN77" s="86">
        <v>4.0234666666666667</v>
      </c>
      <c r="CO77" s="86">
        <v>0.58879999999999999</v>
      </c>
      <c r="CP77" s="86">
        <v>0</v>
      </c>
      <c r="CQ77" s="86">
        <v>0</v>
      </c>
      <c r="CR77" s="86">
        <v>2.5514666666666668</v>
      </c>
    </row>
    <row r="78" spans="1:97">
      <c r="A78" s="5">
        <v>35</v>
      </c>
      <c r="B78" s="94" t="s">
        <v>370</v>
      </c>
      <c r="C78" s="128" t="s">
        <v>352</v>
      </c>
      <c r="D78" s="3">
        <v>18</v>
      </c>
      <c r="E78" s="3" t="s">
        <v>287</v>
      </c>
      <c r="F78" s="67">
        <v>230</v>
      </c>
      <c r="H78" s="67">
        <v>51.2</v>
      </c>
      <c r="J78" s="69">
        <v>11776</v>
      </c>
      <c r="AK78" s="69">
        <v>65.599999999999994</v>
      </c>
      <c r="AN78" s="67">
        <v>907</v>
      </c>
      <c r="AO78" s="67">
        <v>180</v>
      </c>
      <c r="AP78" s="67">
        <v>207</v>
      </c>
      <c r="AQ78" s="69">
        <v>33.794820000000001</v>
      </c>
      <c r="BL78" s="68" t="s">
        <v>62</v>
      </c>
      <c r="BM78" t="s">
        <v>60</v>
      </c>
      <c r="BN78" s="3" t="s">
        <v>149</v>
      </c>
      <c r="BO78" s="124" t="s">
        <v>53</v>
      </c>
      <c r="BP78" s="3" t="s">
        <v>35</v>
      </c>
      <c r="BR78" s="67">
        <v>230</v>
      </c>
      <c r="BS78" s="67">
        <v>3.2</v>
      </c>
      <c r="BT78" s="69">
        <v>736</v>
      </c>
      <c r="BU78" s="3">
        <v>4.0999999999999996</v>
      </c>
      <c r="BV78" s="80">
        <v>179.51219512195124</v>
      </c>
      <c r="BW78" s="3">
        <v>380</v>
      </c>
      <c r="BZ78" s="67">
        <v>16</v>
      </c>
      <c r="CA78" s="67">
        <v>1</v>
      </c>
      <c r="CB78" s="69">
        <v>16</v>
      </c>
      <c r="CD78" s="80">
        <v>348.4557692569453</v>
      </c>
      <c r="CJ78" s="86">
        <v>8.6357333333333326</v>
      </c>
      <c r="CK78" s="86">
        <v>0</v>
      </c>
      <c r="CL78" s="86">
        <v>5.1029333333333335</v>
      </c>
      <c r="CM78" s="86">
        <v>12.953600000000002</v>
      </c>
      <c r="CN78" s="86">
        <v>8.0469333333333335</v>
      </c>
      <c r="CO78" s="86">
        <v>1.1776</v>
      </c>
      <c r="CP78" s="86">
        <v>0</v>
      </c>
      <c r="CQ78" s="86">
        <v>0</v>
      </c>
      <c r="CR78" s="86">
        <v>5.1029333333333335</v>
      </c>
    </row>
    <row r="79" spans="1:97">
      <c r="A79" s="5">
        <v>44</v>
      </c>
      <c r="B79" s="94" t="s">
        <v>371</v>
      </c>
      <c r="C79" s="131" t="s">
        <v>51</v>
      </c>
      <c r="D79" s="3" t="s">
        <v>373</v>
      </c>
      <c r="E79" s="3" t="s">
        <v>287</v>
      </c>
      <c r="F79" s="67">
        <v>228</v>
      </c>
      <c r="H79" s="69">
        <v>12.88</v>
      </c>
      <c r="J79" s="67">
        <v>2940</v>
      </c>
      <c r="AJ79" s="113">
        <v>19.09090909090909</v>
      </c>
      <c r="AK79" s="69">
        <v>16.48</v>
      </c>
      <c r="AL79" s="69">
        <v>2.6109090909090895</v>
      </c>
      <c r="AM79" s="85">
        <v>0.86323809523809525</v>
      </c>
      <c r="AN79" s="67">
        <v>267</v>
      </c>
      <c r="AO79" s="67">
        <v>178</v>
      </c>
      <c r="AP79" s="67">
        <v>237</v>
      </c>
      <c r="AQ79" s="69">
        <v>11.263662</v>
      </c>
      <c r="AR79" s="107">
        <v>7.65625</v>
      </c>
      <c r="AS79" s="108">
        <v>0.67973009133264117</v>
      </c>
      <c r="AT79" s="107">
        <v>3.6074120000000001</v>
      </c>
      <c r="BC79" s="67">
        <v>-35</v>
      </c>
      <c r="BD79" s="67">
        <v>65</v>
      </c>
      <c r="BL79" s="68" t="s">
        <v>51</v>
      </c>
      <c r="BN79" s="3" t="s">
        <v>140</v>
      </c>
      <c r="BO79" s="3" t="s">
        <v>53</v>
      </c>
      <c r="BP79" s="3" t="s">
        <v>35</v>
      </c>
      <c r="BR79" s="67">
        <v>228</v>
      </c>
      <c r="BS79" s="67">
        <v>3.22</v>
      </c>
      <c r="BT79" s="69">
        <v>734.16000000000008</v>
      </c>
      <c r="BU79" s="3">
        <v>4.12</v>
      </c>
      <c r="BV79" s="80">
        <v>178.19417475728156</v>
      </c>
      <c r="BW79" s="69">
        <v>384</v>
      </c>
      <c r="BZ79" s="67">
        <v>4</v>
      </c>
      <c r="CA79" s="67">
        <v>1</v>
      </c>
      <c r="CB79" s="69">
        <v>4</v>
      </c>
      <c r="CC79" s="67">
        <v>154</v>
      </c>
      <c r="CD79" s="80">
        <v>261.01635507173421</v>
      </c>
      <c r="CJ79" s="86">
        <v>2.1559999999999997</v>
      </c>
      <c r="CK79" s="86">
        <v>0</v>
      </c>
      <c r="CL79" s="86">
        <v>1.274</v>
      </c>
      <c r="CM79" s="86">
        <v>3.234</v>
      </c>
      <c r="CN79" s="86">
        <v>2.0089999999999999</v>
      </c>
      <c r="CO79" s="86">
        <v>0.29399999999999998</v>
      </c>
      <c r="CP79" s="86">
        <v>0</v>
      </c>
      <c r="CQ79" s="86">
        <v>0</v>
      </c>
      <c r="CR79" s="86">
        <v>1.274</v>
      </c>
      <c r="CS79" s="87">
        <v>0.53643333333333332</v>
      </c>
    </row>
    <row r="80" spans="1:97">
      <c r="A80" s="5">
        <v>44</v>
      </c>
      <c r="B80" s="94" t="s">
        <v>372</v>
      </c>
      <c r="C80" s="131" t="s">
        <v>51</v>
      </c>
      <c r="D80" s="3" t="s">
        <v>374</v>
      </c>
      <c r="E80" s="3" t="s">
        <v>287</v>
      </c>
      <c r="F80" s="67">
        <v>228</v>
      </c>
      <c r="H80" s="69">
        <v>154.56</v>
      </c>
      <c r="J80" s="67">
        <v>35230</v>
      </c>
      <c r="AJ80" s="113">
        <v>220.1875</v>
      </c>
      <c r="AK80" s="69">
        <v>197.76</v>
      </c>
      <c r="AL80" s="69">
        <v>22.427500000000009</v>
      </c>
      <c r="AM80" s="85">
        <v>0.89814362759012201</v>
      </c>
      <c r="AN80" s="67">
        <v>1060</v>
      </c>
      <c r="AO80" s="67">
        <v>630</v>
      </c>
      <c r="AP80" s="67">
        <v>240</v>
      </c>
      <c r="AQ80" s="69">
        <v>160.27199999999999</v>
      </c>
      <c r="AR80" s="107">
        <v>91.744791666666671</v>
      </c>
      <c r="AS80" s="108">
        <v>0.57243181383315034</v>
      </c>
      <c r="AT80" s="107">
        <v>68.52720833333332</v>
      </c>
      <c r="BC80" s="67">
        <v>-35</v>
      </c>
      <c r="BD80" s="67">
        <v>65</v>
      </c>
      <c r="BL80" s="68" t="s">
        <v>51</v>
      </c>
      <c r="BN80" s="3" t="s">
        <v>140</v>
      </c>
      <c r="BO80" s="3" t="s">
        <v>53</v>
      </c>
      <c r="BP80" s="3" t="s">
        <v>35</v>
      </c>
      <c r="BR80" s="67">
        <v>228</v>
      </c>
      <c r="BS80" s="67">
        <v>3.22</v>
      </c>
      <c r="BT80" s="69">
        <v>734.16000000000008</v>
      </c>
      <c r="BU80" s="3">
        <v>4.12</v>
      </c>
      <c r="BV80" s="80">
        <v>178.19417475728156</v>
      </c>
      <c r="BW80" s="69">
        <v>384</v>
      </c>
      <c r="BZ80" s="67">
        <v>48</v>
      </c>
      <c r="CA80" s="67">
        <v>1</v>
      </c>
      <c r="CB80" s="69">
        <v>48</v>
      </c>
      <c r="CC80" s="67">
        <v>160</v>
      </c>
      <c r="CD80" s="113">
        <v>219.81381651192973</v>
      </c>
      <c r="CJ80" s="86">
        <v>25.835333333333327</v>
      </c>
      <c r="CK80" s="86">
        <v>0</v>
      </c>
      <c r="CL80" s="86">
        <v>15.266333333333332</v>
      </c>
      <c r="CM80" s="86">
        <v>38.753</v>
      </c>
      <c r="CN80" s="86">
        <v>24.073833333333333</v>
      </c>
      <c r="CO80" s="86">
        <v>3.5229999999999997</v>
      </c>
      <c r="CP80" s="86">
        <v>0</v>
      </c>
      <c r="CQ80" s="86">
        <v>0</v>
      </c>
      <c r="CR80" s="86">
        <v>15.266333333333332</v>
      </c>
      <c r="CS80" s="87">
        <v>0.55733333333333324</v>
      </c>
    </row>
    <row r="81" spans="1:97">
      <c r="A81" s="5">
        <v>15</v>
      </c>
      <c r="B81" s="94" t="s">
        <v>379</v>
      </c>
      <c r="C81" s="133" t="s">
        <v>102</v>
      </c>
      <c r="D81" s="3" t="s">
        <v>376</v>
      </c>
      <c r="E81" s="3" t="s">
        <v>165</v>
      </c>
      <c r="F81" s="67">
        <v>145</v>
      </c>
      <c r="G81" s="67">
        <v>58.8</v>
      </c>
      <c r="H81" s="67">
        <v>51.4</v>
      </c>
      <c r="I81" s="67">
        <v>42</v>
      </c>
      <c r="J81" s="67">
        <v>7400</v>
      </c>
      <c r="AJ81" s="3">
        <v>46</v>
      </c>
      <c r="AN81" s="3">
        <v>445</v>
      </c>
      <c r="AO81" s="3">
        <v>110</v>
      </c>
      <c r="AP81" s="3">
        <v>620</v>
      </c>
      <c r="AQ81" s="69">
        <v>30.349</v>
      </c>
      <c r="CC81" s="80">
        <v>160.86956521739131</v>
      </c>
      <c r="CD81" s="80">
        <v>243.83010972354938</v>
      </c>
    </row>
    <row r="82" spans="1:97">
      <c r="A82" s="5">
        <v>15</v>
      </c>
      <c r="B82" s="94" t="s">
        <v>380</v>
      </c>
      <c r="C82" s="133" t="s">
        <v>102</v>
      </c>
      <c r="D82" s="3" t="s">
        <v>377</v>
      </c>
      <c r="E82" s="3" t="s">
        <v>165</v>
      </c>
      <c r="F82" s="67">
        <v>218</v>
      </c>
      <c r="G82" s="67">
        <v>58.8</v>
      </c>
      <c r="H82" s="67">
        <v>51.4</v>
      </c>
      <c r="I82" s="67">
        <v>42</v>
      </c>
      <c r="J82" s="67">
        <v>11200</v>
      </c>
      <c r="AJ82" s="3">
        <v>68</v>
      </c>
      <c r="AN82" s="3">
        <v>445</v>
      </c>
      <c r="AO82" s="3">
        <v>110</v>
      </c>
      <c r="AP82" s="3">
        <v>915</v>
      </c>
      <c r="AQ82" s="69">
        <v>44.789250000000003</v>
      </c>
      <c r="CC82" s="80">
        <v>164.70588235294119</v>
      </c>
      <c r="CD82" s="80">
        <v>250.06000323738397</v>
      </c>
    </row>
    <row r="83" spans="1:97">
      <c r="A83" s="5">
        <v>15</v>
      </c>
      <c r="B83" s="94" t="s">
        <v>381</v>
      </c>
      <c r="C83" s="133" t="s">
        <v>102</v>
      </c>
      <c r="D83" s="3" t="s">
        <v>378</v>
      </c>
      <c r="E83" s="3" t="s">
        <v>165</v>
      </c>
      <c r="F83" s="67">
        <v>290</v>
      </c>
      <c r="G83" s="67">
        <v>58.8</v>
      </c>
      <c r="H83" s="67">
        <v>51.4</v>
      </c>
      <c r="I83" s="67">
        <v>42</v>
      </c>
      <c r="J83" s="67">
        <v>14900</v>
      </c>
      <c r="AJ83" s="3">
        <v>89</v>
      </c>
      <c r="AN83" s="3">
        <v>445</v>
      </c>
      <c r="AO83" s="3">
        <v>110</v>
      </c>
      <c r="AP83" s="3">
        <v>1162</v>
      </c>
      <c r="AQ83" s="69">
        <v>56.879899999999999</v>
      </c>
      <c r="CC83" s="80">
        <v>167.41573033707866</v>
      </c>
      <c r="CD83" s="80">
        <v>261.95545350818128</v>
      </c>
    </row>
    <row r="84" spans="1:97">
      <c r="A84" s="5">
        <v>15</v>
      </c>
      <c r="B84" s="94" t="s">
        <v>382</v>
      </c>
      <c r="C84" s="133" t="s">
        <v>102</v>
      </c>
      <c r="D84" s="3" t="s">
        <v>385</v>
      </c>
      <c r="E84" s="3" t="s">
        <v>165</v>
      </c>
      <c r="F84" s="67">
        <v>126</v>
      </c>
      <c r="G84" s="67">
        <v>58.8</v>
      </c>
      <c r="H84" s="67">
        <v>51.8</v>
      </c>
      <c r="I84" s="67">
        <v>42</v>
      </c>
      <c r="J84" s="67">
        <v>6500</v>
      </c>
      <c r="AJ84" s="3">
        <v>46</v>
      </c>
      <c r="AN84" s="3">
        <v>445</v>
      </c>
      <c r="AO84" s="3">
        <v>110</v>
      </c>
      <c r="AP84" s="3">
        <v>620</v>
      </c>
      <c r="AQ84" s="69">
        <v>30.349</v>
      </c>
      <c r="CC84" s="80">
        <v>141.30434782608697</v>
      </c>
      <c r="CD84" s="80">
        <v>214.17509637879337</v>
      </c>
    </row>
    <row r="85" spans="1:97">
      <c r="A85" s="5">
        <v>15</v>
      </c>
      <c r="B85" s="94" t="s">
        <v>383</v>
      </c>
      <c r="C85" s="133" t="s">
        <v>102</v>
      </c>
      <c r="D85" s="3" t="s">
        <v>386</v>
      </c>
      <c r="E85" s="3" t="s">
        <v>165</v>
      </c>
      <c r="F85" s="67">
        <v>189</v>
      </c>
      <c r="G85" s="67">
        <v>58.8</v>
      </c>
      <c r="H85" s="67">
        <v>51.8</v>
      </c>
      <c r="I85" s="67">
        <v>42</v>
      </c>
      <c r="J85" s="67">
        <v>9800</v>
      </c>
      <c r="AJ85" s="3">
        <v>68</v>
      </c>
      <c r="AN85" s="3">
        <v>445</v>
      </c>
      <c r="AO85" s="3">
        <v>110</v>
      </c>
      <c r="AP85" s="3">
        <v>915</v>
      </c>
      <c r="AQ85" s="69">
        <v>44.789250000000003</v>
      </c>
      <c r="CC85" s="80">
        <v>144.11764705882354</v>
      </c>
      <c r="CD85" s="80">
        <v>218.80250283271096</v>
      </c>
    </row>
    <row r="86" spans="1:97">
      <c r="A86" s="5">
        <v>15</v>
      </c>
      <c r="B86" s="94" t="s">
        <v>384</v>
      </c>
      <c r="C86" s="133" t="s">
        <v>102</v>
      </c>
      <c r="D86" s="3" t="s">
        <v>387</v>
      </c>
      <c r="E86" s="3" t="s">
        <v>165</v>
      </c>
      <c r="F86" s="67">
        <v>252</v>
      </c>
      <c r="G86" s="67">
        <v>58.8</v>
      </c>
      <c r="H86" s="67">
        <v>51.8</v>
      </c>
      <c r="I86" s="67">
        <v>42</v>
      </c>
      <c r="J86" s="67">
        <v>13000</v>
      </c>
      <c r="AJ86" s="3">
        <v>89</v>
      </c>
      <c r="AN86" s="3">
        <v>445</v>
      </c>
      <c r="AO86" s="3">
        <v>110</v>
      </c>
      <c r="AP86" s="3">
        <v>1162</v>
      </c>
      <c r="AQ86" s="69">
        <v>56.879899999999999</v>
      </c>
      <c r="CC86" s="80">
        <v>146.06741573033707</v>
      </c>
      <c r="CD86" s="80">
        <v>228.55173796015816</v>
      </c>
    </row>
    <row r="87" spans="1:97">
      <c r="A87" s="5">
        <v>15</v>
      </c>
      <c r="B87" s="94" t="s">
        <v>388</v>
      </c>
      <c r="C87" s="133" t="s">
        <v>102</v>
      </c>
      <c r="D87" s="3" t="s">
        <v>391</v>
      </c>
      <c r="E87" s="3" t="s">
        <v>165</v>
      </c>
      <c r="F87" s="67">
        <v>64</v>
      </c>
      <c r="G87" s="67">
        <v>58.8</v>
      </c>
      <c r="H87" s="67">
        <v>51.5</v>
      </c>
      <c r="I87" s="67">
        <v>42</v>
      </c>
      <c r="J87" s="67">
        <v>3300</v>
      </c>
      <c r="AJ87" s="3">
        <v>28</v>
      </c>
      <c r="AN87" s="3">
        <v>445</v>
      </c>
      <c r="AO87" s="3">
        <v>110</v>
      </c>
      <c r="AP87" s="3">
        <v>344</v>
      </c>
      <c r="AQ87" s="69">
        <v>16.838799999999999</v>
      </c>
      <c r="CC87" s="80">
        <v>117.85714285714286</v>
      </c>
      <c r="CD87" s="80">
        <v>195.97596028220539</v>
      </c>
    </row>
    <row r="88" spans="1:97">
      <c r="A88" s="5">
        <v>15</v>
      </c>
      <c r="B88" s="94" t="s">
        <v>389</v>
      </c>
      <c r="C88" s="133" t="s">
        <v>102</v>
      </c>
      <c r="D88" s="3" t="s">
        <v>392</v>
      </c>
      <c r="E88" s="3" t="s">
        <v>165</v>
      </c>
      <c r="F88" s="67">
        <v>128</v>
      </c>
      <c r="G88" s="67">
        <v>58.8</v>
      </c>
      <c r="H88" s="67">
        <v>51.5</v>
      </c>
      <c r="I88" s="67">
        <v>42</v>
      </c>
      <c r="J88" s="67">
        <v>6600</v>
      </c>
      <c r="AJ88" s="3">
        <v>47</v>
      </c>
      <c r="AN88" s="3">
        <v>445</v>
      </c>
      <c r="AO88" s="3">
        <v>110</v>
      </c>
      <c r="AP88" s="3">
        <v>620</v>
      </c>
      <c r="AQ88" s="69">
        <v>30.349</v>
      </c>
      <c r="CC88" s="80">
        <v>140.42553191489361</v>
      </c>
      <c r="CD88" s="80">
        <v>217.47009786154405</v>
      </c>
    </row>
    <row r="89" spans="1:97">
      <c r="A89" s="5">
        <v>15</v>
      </c>
      <c r="B89" s="94" t="s">
        <v>390</v>
      </c>
      <c r="C89" s="133" t="s">
        <v>102</v>
      </c>
      <c r="D89" s="3" t="s">
        <v>393</v>
      </c>
      <c r="E89" s="3" t="s">
        <v>165</v>
      </c>
      <c r="F89" s="67">
        <v>60</v>
      </c>
      <c r="G89" s="67">
        <v>58.8</v>
      </c>
      <c r="H89" s="67">
        <v>51.5</v>
      </c>
      <c r="I89" s="67">
        <v>42</v>
      </c>
      <c r="J89" s="67">
        <v>3100</v>
      </c>
      <c r="AJ89" s="3">
        <v>31</v>
      </c>
      <c r="AN89" s="3">
        <v>445</v>
      </c>
      <c r="AO89" s="3">
        <v>110</v>
      </c>
      <c r="AP89" s="3">
        <v>494</v>
      </c>
      <c r="AQ89" s="69">
        <v>24.1813</v>
      </c>
      <c r="CC89" s="80">
        <v>100</v>
      </c>
      <c r="CD89" s="80">
        <v>128.19823582685794</v>
      </c>
    </row>
    <row r="90" spans="1:97">
      <c r="A90" s="5">
        <v>15</v>
      </c>
      <c r="B90" s="94" t="s">
        <v>394</v>
      </c>
      <c r="C90" s="133" t="s">
        <v>102</v>
      </c>
      <c r="D90" s="3" t="s">
        <v>132</v>
      </c>
      <c r="E90" s="3" t="s">
        <v>165</v>
      </c>
      <c r="F90" s="3">
        <v>63</v>
      </c>
      <c r="G90" s="67">
        <v>58.8</v>
      </c>
      <c r="H90" s="3">
        <v>51.8</v>
      </c>
      <c r="I90" s="67">
        <v>42</v>
      </c>
      <c r="J90" s="3">
        <v>3300</v>
      </c>
      <c r="AJ90" s="3">
        <v>24</v>
      </c>
      <c r="AN90" s="3">
        <v>445</v>
      </c>
      <c r="AO90" s="3">
        <v>110</v>
      </c>
      <c r="AP90" s="3">
        <v>339</v>
      </c>
      <c r="AQ90" s="69">
        <v>16.594049999999999</v>
      </c>
      <c r="CC90" s="80">
        <v>137.5</v>
      </c>
      <c r="CD90" s="80">
        <v>198.86646117132346</v>
      </c>
    </row>
    <row r="91" spans="1:97">
      <c r="A91" s="5">
        <v>15</v>
      </c>
      <c r="B91" s="94" t="s">
        <v>395</v>
      </c>
      <c r="C91" s="133" t="s">
        <v>102</v>
      </c>
      <c r="D91" s="3" t="s">
        <v>133</v>
      </c>
      <c r="E91" s="3" t="s">
        <v>165</v>
      </c>
      <c r="F91" s="3">
        <v>126</v>
      </c>
      <c r="G91" s="67">
        <v>58.8</v>
      </c>
      <c r="H91" s="3">
        <v>51.8</v>
      </c>
      <c r="I91" s="67">
        <v>42</v>
      </c>
      <c r="J91" s="3">
        <v>6500</v>
      </c>
      <c r="AJ91" s="3">
        <v>44</v>
      </c>
      <c r="AN91" s="3">
        <v>445</v>
      </c>
      <c r="AO91" s="3">
        <v>110</v>
      </c>
      <c r="AP91" s="3">
        <v>587</v>
      </c>
      <c r="AQ91" s="113">
        <v>28.733650000000001</v>
      </c>
      <c r="CC91" s="80">
        <v>147.72727272727272</v>
      </c>
      <c r="CD91" s="80">
        <v>226.21560435238823</v>
      </c>
    </row>
    <row r="92" spans="1:97">
      <c r="A92" s="5">
        <v>36</v>
      </c>
      <c r="B92" s="94" t="s">
        <v>398</v>
      </c>
      <c r="C92" s="136" t="s">
        <v>397</v>
      </c>
      <c r="D92" s="3" t="s">
        <v>400</v>
      </c>
      <c r="E92" s="3" t="s">
        <v>154</v>
      </c>
      <c r="F92" s="3">
        <v>125</v>
      </c>
      <c r="G92" s="67">
        <v>168</v>
      </c>
      <c r="H92" s="67">
        <v>154.56</v>
      </c>
      <c r="I92" s="67">
        <v>139.19999999999999</v>
      </c>
      <c r="J92" s="3">
        <v>19320</v>
      </c>
      <c r="AA92" s="69">
        <v>375</v>
      </c>
      <c r="AE92" s="69">
        <v>375</v>
      </c>
      <c r="AJ92" s="113">
        <v>154.56</v>
      </c>
      <c r="AN92" s="3">
        <v>900</v>
      </c>
      <c r="AO92" s="3">
        <v>674</v>
      </c>
      <c r="AP92" s="3">
        <v>196</v>
      </c>
      <c r="AQ92" s="113">
        <v>118.89360000000001</v>
      </c>
      <c r="AV92" s="68" t="s">
        <v>76</v>
      </c>
      <c r="BC92" s="67">
        <v>-20</v>
      </c>
      <c r="BD92" s="67">
        <v>45</v>
      </c>
      <c r="BM92" s="68" t="s">
        <v>402</v>
      </c>
      <c r="BO92" s="69" t="s">
        <v>53</v>
      </c>
      <c r="BS92" s="69">
        <v>3.22</v>
      </c>
      <c r="BZ92" s="67">
        <v>48</v>
      </c>
      <c r="CA92" s="67">
        <v>1</v>
      </c>
      <c r="CB92" s="69">
        <v>48</v>
      </c>
      <c r="CC92" s="67">
        <v>125</v>
      </c>
      <c r="CD92" s="80">
        <v>162.49823371485093</v>
      </c>
      <c r="CJ92" s="86">
        <v>14.167999999999999</v>
      </c>
      <c r="CK92" s="86">
        <v>0</v>
      </c>
      <c r="CL92" s="86">
        <v>8.3719999999999999</v>
      </c>
      <c r="CM92" s="86">
        <v>21.252000000000002</v>
      </c>
      <c r="CN92" s="86">
        <v>13.202</v>
      </c>
      <c r="CO92" s="86">
        <v>1.9320000000000002</v>
      </c>
      <c r="CP92" s="86">
        <v>0</v>
      </c>
      <c r="CQ92" s="86">
        <v>0</v>
      </c>
      <c r="CR92" s="86">
        <v>8.3719999999999999</v>
      </c>
      <c r="CS92" s="87">
        <v>0.43541666666666667</v>
      </c>
    </row>
    <row r="93" spans="1:97">
      <c r="A93" s="5">
        <v>36</v>
      </c>
      <c r="B93" s="94" t="s">
        <v>399</v>
      </c>
      <c r="C93" s="136" t="s">
        <v>397</v>
      </c>
      <c r="D93" s="3" t="s">
        <v>401</v>
      </c>
      <c r="E93" s="3" t="s">
        <v>154</v>
      </c>
      <c r="F93" s="3">
        <v>250</v>
      </c>
      <c r="G93" s="67">
        <v>84</v>
      </c>
      <c r="H93" s="67">
        <v>77.28</v>
      </c>
      <c r="I93" s="67">
        <v>69.599999999999994</v>
      </c>
      <c r="J93" s="3">
        <v>19320</v>
      </c>
      <c r="AA93" s="69">
        <v>375</v>
      </c>
      <c r="AE93" s="69">
        <v>375</v>
      </c>
      <c r="AJ93" s="113">
        <v>154.56</v>
      </c>
      <c r="AN93" s="3">
        <v>900</v>
      </c>
      <c r="AO93" s="3">
        <v>674</v>
      </c>
      <c r="AP93" s="3">
        <v>196</v>
      </c>
      <c r="AQ93" s="113">
        <v>118.89360000000001</v>
      </c>
      <c r="AV93" s="68" t="s">
        <v>76</v>
      </c>
      <c r="BC93" s="67">
        <v>-20</v>
      </c>
      <c r="BD93" s="67">
        <v>45</v>
      </c>
      <c r="BM93" s="68" t="s">
        <v>402</v>
      </c>
      <c r="BO93" s="69" t="s">
        <v>53</v>
      </c>
      <c r="BS93" s="69">
        <v>3.22</v>
      </c>
      <c r="BZ93" s="67">
        <v>24</v>
      </c>
      <c r="CA93" s="67">
        <v>2</v>
      </c>
      <c r="CB93" s="69">
        <v>48</v>
      </c>
      <c r="CC93" s="67">
        <v>125</v>
      </c>
      <c r="CD93" s="80">
        <v>162.49823371485093</v>
      </c>
      <c r="CJ93" s="86">
        <v>14.167999999999999</v>
      </c>
      <c r="CK93" s="86">
        <v>0</v>
      </c>
      <c r="CL93" s="86">
        <v>8.3719999999999999</v>
      </c>
      <c r="CM93" s="86">
        <v>21.252000000000002</v>
      </c>
      <c r="CN93" s="86">
        <v>13.202</v>
      </c>
      <c r="CO93" s="86">
        <v>1.9320000000000002</v>
      </c>
      <c r="CP93" s="86">
        <v>0</v>
      </c>
      <c r="CQ93" s="86">
        <v>0</v>
      </c>
      <c r="CR93" s="86">
        <v>8.3719999999999999</v>
      </c>
      <c r="CS93" s="87">
        <v>0.43541666666666667</v>
      </c>
    </row>
    <row r="94" spans="1:97">
      <c r="A94" s="5">
        <v>31</v>
      </c>
      <c r="B94" s="94" t="s">
        <v>404</v>
      </c>
      <c r="C94" s="137" t="s">
        <v>51</v>
      </c>
      <c r="D94" s="3" t="s">
        <v>403</v>
      </c>
      <c r="E94" s="3" t="s">
        <v>56</v>
      </c>
      <c r="F94" s="67">
        <v>302</v>
      </c>
      <c r="H94" s="113">
        <v>115.92</v>
      </c>
      <c r="J94" s="80">
        <v>35007.840000000004</v>
      </c>
      <c r="AJ94" s="80">
        <v>225.85703225806455</v>
      </c>
      <c r="AN94" s="67">
        <v>1060</v>
      </c>
      <c r="AO94" s="67">
        <v>630</v>
      </c>
      <c r="AP94" s="67">
        <v>240</v>
      </c>
      <c r="AQ94" s="113">
        <v>160.27199999999999</v>
      </c>
      <c r="AV94" s="68" t="s">
        <v>77</v>
      </c>
      <c r="AX94" s="68" t="s">
        <v>413</v>
      </c>
      <c r="BO94" s="67" t="s">
        <v>53</v>
      </c>
      <c r="BP94" s="67" t="s">
        <v>35</v>
      </c>
      <c r="BS94" s="69">
        <v>3.22</v>
      </c>
      <c r="BZ94" s="67">
        <v>36</v>
      </c>
      <c r="CA94" s="67">
        <v>1</v>
      </c>
      <c r="CB94" s="69">
        <v>36</v>
      </c>
      <c r="CC94" s="67">
        <v>155</v>
      </c>
      <c r="CD94" s="80">
        <v>218.42767295597488</v>
      </c>
      <c r="CJ94" s="86">
        <v>25.672415999999998</v>
      </c>
      <c r="CK94" s="86">
        <v>0</v>
      </c>
      <c r="CL94" s="86">
        <v>15.170064000000002</v>
      </c>
      <c r="CM94" s="86">
        <v>38.508624000000005</v>
      </c>
      <c r="CN94" s="86">
        <v>23.922024</v>
      </c>
      <c r="CO94" s="86">
        <v>3.5007840000000003</v>
      </c>
      <c r="CP94" s="86">
        <v>0</v>
      </c>
      <c r="CQ94" s="86">
        <v>0</v>
      </c>
      <c r="CR94" s="86">
        <v>15.170064000000002</v>
      </c>
      <c r="CS94" s="87">
        <v>0.5399166666666666</v>
      </c>
    </row>
    <row r="95" spans="1:97">
      <c r="A95" s="5">
        <v>31</v>
      </c>
      <c r="B95" s="94" t="s">
        <v>405</v>
      </c>
      <c r="C95" s="137" t="s">
        <v>51</v>
      </c>
      <c r="D95" s="3" t="s">
        <v>403</v>
      </c>
      <c r="E95" s="3" t="s">
        <v>56</v>
      </c>
      <c r="F95" s="67">
        <v>228</v>
      </c>
      <c r="H95" s="113">
        <v>154.56</v>
      </c>
      <c r="J95" s="80">
        <v>35239.68</v>
      </c>
      <c r="AJ95" s="80">
        <v>227.35277419354838</v>
      </c>
      <c r="AN95" s="67">
        <v>1060</v>
      </c>
      <c r="AO95" s="67">
        <v>630</v>
      </c>
      <c r="AP95" s="67">
        <v>240</v>
      </c>
      <c r="AQ95" s="113">
        <v>160.27199999999999</v>
      </c>
      <c r="AV95" s="68" t="s">
        <v>77</v>
      </c>
      <c r="AX95" s="68" t="s">
        <v>413</v>
      </c>
      <c r="BO95" s="67" t="s">
        <v>53</v>
      </c>
      <c r="BP95" s="67" t="s">
        <v>35</v>
      </c>
      <c r="BS95" s="69">
        <v>3.22</v>
      </c>
      <c r="BZ95" s="67">
        <v>48</v>
      </c>
      <c r="CA95" s="67">
        <v>1</v>
      </c>
      <c r="CB95" s="69">
        <v>48</v>
      </c>
      <c r="CC95" s="67">
        <v>155</v>
      </c>
      <c r="CD95" s="80">
        <v>219.87421383647799</v>
      </c>
      <c r="CJ95" s="86">
        <v>25.842431999999999</v>
      </c>
      <c r="CK95" s="86">
        <v>0</v>
      </c>
      <c r="CL95" s="86">
        <v>15.270528000000001</v>
      </c>
      <c r="CM95" s="86">
        <v>38.763648000000003</v>
      </c>
      <c r="CN95" s="86">
        <v>24.080448000000001</v>
      </c>
      <c r="CO95" s="86">
        <v>3.523968</v>
      </c>
      <c r="CP95" s="86">
        <v>0</v>
      </c>
      <c r="CQ95" s="86">
        <v>0</v>
      </c>
      <c r="CR95" s="86">
        <v>15.270528000000001</v>
      </c>
      <c r="CS95" s="87">
        <v>0.53991666666666671</v>
      </c>
    </row>
    <row r="96" spans="1:97">
      <c r="A96" s="5">
        <v>31</v>
      </c>
      <c r="B96" s="94" t="s">
        <v>406</v>
      </c>
      <c r="C96" s="137" t="s">
        <v>51</v>
      </c>
      <c r="D96" s="3" t="s">
        <v>403</v>
      </c>
      <c r="E96" s="3" t="s">
        <v>56</v>
      </c>
      <c r="F96" s="67">
        <v>173</v>
      </c>
      <c r="H96" s="113">
        <v>202.86</v>
      </c>
      <c r="J96" s="80">
        <v>35094.78</v>
      </c>
      <c r="AJ96" s="80">
        <v>226.41793548387096</v>
      </c>
      <c r="AN96" s="67">
        <v>1060</v>
      </c>
      <c r="AO96" s="67">
        <v>630</v>
      </c>
      <c r="AP96" s="67">
        <v>240</v>
      </c>
      <c r="AQ96" s="113">
        <v>160.27199999999999</v>
      </c>
      <c r="AV96" s="68" t="s">
        <v>77</v>
      </c>
      <c r="AX96" s="68" t="s">
        <v>413</v>
      </c>
      <c r="BO96" s="67" t="s">
        <v>53</v>
      </c>
      <c r="BP96" s="67" t="s">
        <v>35</v>
      </c>
      <c r="BS96" s="69">
        <v>3.22</v>
      </c>
      <c r="BZ96" s="67">
        <v>63</v>
      </c>
      <c r="CA96" s="67">
        <v>1</v>
      </c>
      <c r="CB96" s="69">
        <v>63</v>
      </c>
      <c r="CC96" s="67">
        <v>155</v>
      </c>
      <c r="CD96" s="80">
        <v>218.97012578616352</v>
      </c>
      <c r="CJ96" s="86">
        <v>25.736172</v>
      </c>
      <c r="CK96" s="86">
        <v>0</v>
      </c>
      <c r="CL96" s="86">
        <v>15.207738000000001</v>
      </c>
      <c r="CM96" s="86">
        <v>38.604258000000002</v>
      </c>
      <c r="CN96" s="86">
        <v>23.981432999999999</v>
      </c>
      <c r="CO96" s="86">
        <v>3.5094780000000001</v>
      </c>
      <c r="CP96" s="86">
        <v>0</v>
      </c>
      <c r="CQ96" s="86">
        <v>0</v>
      </c>
      <c r="CR96" s="86">
        <v>15.207738000000001</v>
      </c>
      <c r="CS96" s="87">
        <v>0.53991666666666671</v>
      </c>
    </row>
    <row r="97" spans="1:97">
      <c r="A97" s="5">
        <v>31</v>
      </c>
      <c r="B97" s="94" t="s">
        <v>408</v>
      </c>
      <c r="C97" s="137" t="s">
        <v>51</v>
      </c>
      <c r="D97" s="3" t="s">
        <v>407</v>
      </c>
      <c r="E97" s="3" t="s">
        <v>56</v>
      </c>
      <c r="F97" s="67">
        <v>302</v>
      </c>
      <c r="H97" s="113">
        <v>96.600000000000009</v>
      </c>
      <c r="J97" s="80">
        <v>29173.200000000004</v>
      </c>
      <c r="AJ97" s="80">
        <v>188.21419354838713</v>
      </c>
      <c r="AN97" s="67">
        <v>950</v>
      </c>
      <c r="AO97" s="67">
        <v>630</v>
      </c>
      <c r="AP97" s="67">
        <v>240</v>
      </c>
      <c r="AQ97" s="113">
        <v>143.63999999999999</v>
      </c>
      <c r="AV97" s="68" t="s">
        <v>77</v>
      </c>
      <c r="AX97" s="68" t="s">
        <v>413</v>
      </c>
      <c r="BO97" s="67" t="s">
        <v>53</v>
      </c>
      <c r="BP97" s="67" t="s">
        <v>35</v>
      </c>
      <c r="BS97" s="69">
        <v>3.22</v>
      </c>
      <c r="BZ97" s="67">
        <v>30</v>
      </c>
      <c r="CA97" s="67">
        <v>1</v>
      </c>
      <c r="CB97" s="69">
        <v>30</v>
      </c>
      <c r="CC97" s="67">
        <v>155</v>
      </c>
      <c r="CD97" s="80">
        <v>203.09941520467842</v>
      </c>
      <c r="CJ97" s="86">
        <v>21.393680000000003</v>
      </c>
      <c r="CK97" s="86">
        <v>0</v>
      </c>
      <c r="CL97" s="86">
        <v>12.641720000000003</v>
      </c>
      <c r="CM97" s="86">
        <v>32.090520000000005</v>
      </c>
      <c r="CN97" s="86">
        <v>19.935020000000005</v>
      </c>
      <c r="CO97" s="86">
        <v>2.9173200000000006</v>
      </c>
      <c r="CP97" s="86">
        <v>0</v>
      </c>
      <c r="CQ97" s="86">
        <v>0</v>
      </c>
      <c r="CR97" s="86">
        <v>12.641720000000003</v>
      </c>
      <c r="CS97" s="87">
        <v>0.53991666666666671</v>
      </c>
    </row>
    <row r="98" spans="1:97">
      <c r="A98" s="5">
        <v>31</v>
      </c>
      <c r="B98" s="94" t="s">
        <v>409</v>
      </c>
      <c r="C98" s="137" t="s">
        <v>51</v>
      </c>
      <c r="D98" s="3" t="s">
        <v>407</v>
      </c>
      <c r="E98" s="3" t="s">
        <v>56</v>
      </c>
      <c r="F98" s="67">
        <v>228</v>
      </c>
      <c r="H98" s="113">
        <v>125.58000000000001</v>
      </c>
      <c r="J98" s="80">
        <v>28632.240000000002</v>
      </c>
      <c r="AJ98" s="80">
        <v>184.72412903225808</v>
      </c>
      <c r="AN98" s="67">
        <v>950</v>
      </c>
      <c r="AO98" s="67">
        <v>630</v>
      </c>
      <c r="AP98" s="67">
        <v>240</v>
      </c>
      <c r="AQ98" s="113">
        <v>143.63999999999999</v>
      </c>
      <c r="AV98" s="68" t="s">
        <v>77</v>
      </c>
      <c r="AX98" s="68" t="s">
        <v>413</v>
      </c>
      <c r="BO98" s="67" t="s">
        <v>53</v>
      </c>
      <c r="BP98" s="67" t="s">
        <v>35</v>
      </c>
      <c r="BS98" s="69">
        <v>3.22</v>
      </c>
      <c r="BZ98" s="67">
        <v>39</v>
      </c>
      <c r="CA98" s="67">
        <v>1</v>
      </c>
      <c r="CB98" s="69">
        <v>39</v>
      </c>
      <c r="CC98" s="67">
        <v>155</v>
      </c>
      <c r="CD98" s="80">
        <v>199.33333333333337</v>
      </c>
      <c r="CJ98" s="86">
        <v>20.996976</v>
      </c>
      <c r="CK98" s="86">
        <v>0</v>
      </c>
      <c r="CL98" s="86">
        <v>12.407304000000002</v>
      </c>
      <c r="CM98" s="86">
        <v>31.495464000000005</v>
      </c>
      <c r="CN98" s="86">
        <v>19.565364000000002</v>
      </c>
      <c r="CO98" s="86">
        <v>2.8632240000000007</v>
      </c>
      <c r="CP98" s="86">
        <v>0</v>
      </c>
      <c r="CQ98" s="86">
        <v>0</v>
      </c>
      <c r="CR98" s="86">
        <v>12.407304000000002</v>
      </c>
      <c r="CS98" s="87">
        <v>0.5399166666666666</v>
      </c>
    </row>
    <row r="99" spans="1:97">
      <c r="A99" s="5">
        <v>31</v>
      </c>
      <c r="B99" s="94" t="s">
        <v>410</v>
      </c>
      <c r="C99" s="137" t="s">
        <v>51</v>
      </c>
      <c r="D99" s="3" t="s">
        <v>407</v>
      </c>
      <c r="E99" s="3" t="s">
        <v>56</v>
      </c>
      <c r="F99" s="67">
        <v>173</v>
      </c>
      <c r="H99" s="113">
        <v>173.88000000000002</v>
      </c>
      <c r="J99" s="80">
        <v>30081.240000000005</v>
      </c>
      <c r="AJ99" s="80">
        <v>194.07251612903229</v>
      </c>
      <c r="AN99" s="67">
        <v>950</v>
      </c>
      <c r="AO99" s="67">
        <v>630</v>
      </c>
      <c r="AP99" s="67">
        <v>240</v>
      </c>
      <c r="AQ99" s="113">
        <v>143.63999999999999</v>
      </c>
      <c r="AV99" s="68" t="s">
        <v>77</v>
      </c>
      <c r="AX99" s="68" t="s">
        <v>413</v>
      </c>
      <c r="BO99" s="67" t="s">
        <v>53</v>
      </c>
      <c r="BP99" s="67" t="s">
        <v>35</v>
      </c>
      <c r="BS99" s="69">
        <v>3.22</v>
      </c>
      <c r="BZ99" s="67">
        <v>54</v>
      </c>
      <c r="CA99" s="67">
        <v>1</v>
      </c>
      <c r="CB99" s="69">
        <v>54</v>
      </c>
      <c r="CC99" s="67">
        <v>155</v>
      </c>
      <c r="CD99" s="80">
        <v>209.42105263157902</v>
      </c>
      <c r="CJ99" s="86">
        <v>22.059576000000003</v>
      </c>
      <c r="CK99" s="86">
        <v>0</v>
      </c>
      <c r="CL99" s="86">
        <v>13.035204000000002</v>
      </c>
      <c r="CM99" s="86">
        <v>33.08936400000001</v>
      </c>
      <c r="CN99" s="86">
        <v>20.555514000000002</v>
      </c>
      <c r="CO99" s="86">
        <v>3.0081240000000005</v>
      </c>
      <c r="CP99" s="86">
        <v>0</v>
      </c>
      <c r="CQ99" s="86">
        <v>0</v>
      </c>
      <c r="CR99" s="86">
        <v>13.035204000000002</v>
      </c>
      <c r="CS99" s="87">
        <v>0.53991666666666671</v>
      </c>
    </row>
    <row r="100" spans="1:97">
      <c r="A100" s="5">
        <v>31</v>
      </c>
      <c r="B100" s="94" t="s">
        <v>411</v>
      </c>
      <c r="C100" s="137" t="s">
        <v>51</v>
      </c>
      <c r="D100" s="3" t="s">
        <v>412</v>
      </c>
      <c r="E100" s="3" t="s">
        <v>56</v>
      </c>
      <c r="F100" s="67">
        <v>142</v>
      </c>
      <c r="H100" s="67">
        <v>209.3</v>
      </c>
      <c r="J100" s="80">
        <v>29720.600000000002</v>
      </c>
      <c r="AJ100" s="67">
        <v>218</v>
      </c>
      <c r="AN100" s="67">
        <v>1154</v>
      </c>
      <c r="AO100" s="67">
        <v>872</v>
      </c>
      <c r="AP100" s="67">
        <v>150</v>
      </c>
      <c r="AQ100" s="113">
        <v>150.94319999999999</v>
      </c>
      <c r="AV100" s="68" t="s">
        <v>77</v>
      </c>
      <c r="AX100" s="68" t="s">
        <v>413</v>
      </c>
      <c r="BO100" s="67" t="s">
        <v>53</v>
      </c>
      <c r="BP100" s="67" t="s">
        <v>35</v>
      </c>
      <c r="BS100" s="69">
        <v>3.22</v>
      </c>
      <c r="BZ100" s="67">
        <v>65</v>
      </c>
      <c r="CA100" s="67">
        <v>1</v>
      </c>
      <c r="CB100" s="69">
        <v>65</v>
      </c>
      <c r="CC100" s="80">
        <v>136.33302752293579</v>
      </c>
      <c r="CD100" s="80">
        <v>196.89923096900029</v>
      </c>
      <c r="CJ100" s="86">
        <v>21.795106666666666</v>
      </c>
      <c r="CK100" s="86">
        <v>0</v>
      </c>
      <c r="CL100" s="86">
        <v>12.878926666666668</v>
      </c>
      <c r="CM100" s="86">
        <v>32.692660000000004</v>
      </c>
      <c r="CN100" s="86">
        <v>20.30907666666667</v>
      </c>
      <c r="CO100" s="86">
        <v>2.9720600000000004</v>
      </c>
      <c r="CP100" s="86">
        <v>0</v>
      </c>
      <c r="CQ100" s="86">
        <v>0</v>
      </c>
      <c r="CR100" s="86">
        <v>12.878926666666668</v>
      </c>
      <c r="CS100" s="87">
        <v>0.474893379204893</v>
      </c>
    </row>
    <row r="101" spans="1:97">
      <c r="A101" s="5">
        <v>32</v>
      </c>
      <c r="B101" s="94" t="s">
        <v>415</v>
      </c>
      <c r="C101" s="137" t="s">
        <v>51</v>
      </c>
      <c r="D101" s="3" t="s">
        <v>414</v>
      </c>
      <c r="E101" s="3" t="s">
        <v>56</v>
      </c>
      <c r="F101" s="67">
        <v>302</v>
      </c>
      <c r="H101" s="113">
        <v>231.84</v>
      </c>
      <c r="J101" s="80">
        <v>70015.680000000008</v>
      </c>
      <c r="AE101" s="69">
        <v>247.64</v>
      </c>
      <c r="AJ101" s="80">
        <v>451.7140645161291</v>
      </c>
      <c r="AN101" s="67">
        <v>2050</v>
      </c>
      <c r="AO101" s="67">
        <v>640</v>
      </c>
      <c r="AP101" s="67">
        <v>240</v>
      </c>
      <c r="AQ101" s="113">
        <v>314.88</v>
      </c>
      <c r="AV101" s="68" t="s">
        <v>77</v>
      </c>
      <c r="AX101" s="68" t="s">
        <v>413</v>
      </c>
      <c r="BO101" s="67" t="s">
        <v>53</v>
      </c>
      <c r="BP101" s="67" t="s">
        <v>35</v>
      </c>
      <c r="BS101" s="69">
        <v>3.22</v>
      </c>
      <c r="BZ101" s="67">
        <v>72</v>
      </c>
      <c r="CA101" s="67">
        <v>1</v>
      </c>
      <c r="CB101" s="69">
        <v>72</v>
      </c>
      <c r="CC101" s="67">
        <v>155</v>
      </c>
      <c r="CD101" s="80">
        <v>222.35670731707319</v>
      </c>
      <c r="CJ101" s="86">
        <v>51.344831999999997</v>
      </c>
      <c r="CK101" s="86">
        <v>0</v>
      </c>
      <c r="CL101" s="86">
        <v>30.340128000000004</v>
      </c>
      <c r="CM101" s="86">
        <v>77.017248000000009</v>
      </c>
      <c r="CN101" s="86">
        <v>47.844048000000001</v>
      </c>
      <c r="CO101" s="86">
        <v>7.0015680000000007</v>
      </c>
      <c r="CP101" s="86">
        <v>0</v>
      </c>
      <c r="CQ101" s="86">
        <v>0</v>
      </c>
      <c r="CR101" s="86">
        <v>30.340128000000004</v>
      </c>
      <c r="CS101" s="87">
        <v>0.5399166666666666</v>
      </c>
    </row>
    <row r="102" spans="1:97">
      <c r="A102" s="5">
        <v>32</v>
      </c>
      <c r="B102" s="94" t="s">
        <v>416</v>
      </c>
      <c r="C102" s="137" t="s">
        <v>51</v>
      </c>
      <c r="D102" s="3" t="s">
        <v>414</v>
      </c>
      <c r="E102" s="3" t="s">
        <v>56</v>
      </c>
      <c r="F102" s="67">
        <v>228</v>
      </c>
      <c r="H102" s="113">
        <v>309.12</v>
      </c>
      <c r="J102" s="80">
        <v>70479.360000000001</v>
      </c>
      <c r="AE102" s="69">
        <v>228</v>
      </c>
      <c r="AJ102" s="80">
        <v>454.70554838709677</v>
      </c>
      <c r="AN102" s="67">
        <v>2050</v>
      </c>
      <c r="AO102" s="67">
        <v>640</v>
      </c>
      <c r="AP102" s="67">
        <v>240</v>
      </c>
      <c r="AQ102" s="113">
        <v>314.88</v>
      </c>
      <c r="AV102" s="68" t="s">
        <v>77</v>
      </c>
      <c r="AX102" s="68" t="s">
        <v>413</v>
      </c>
      <c r="BO102" s="67" t="s">
        <v>53</v>
      </c>
      <c r="BP102" s="67" t="s">
        <v>35</v>
      </c>
      <c r="BS102" s="69">
        <v>3.22</v>
      </c>
      <c r="BZ102" s="67">
        <v>96</v>
      </c>
      <c r="CA102" s="67">
        <v>1</v>
      </c>
      <c r="CB102" s="69">
        <v>96</v>
      </c>
      <c r="CC102" s="67">
        <v>155</v>
      </c>
      <c r="CD102" s="80">
        <v>223.82926829268294</v>
      </c>
      <c r="CJ102" s="86">
        <v>51.684863999999997</v>
      </c>
      <c r="CK102" s="86">
        <v>0</v>
      </c>
      <c r="CL102" s="86">
        <v>30.541056000000001</v>
      </c>
      <c r="CM102" s="86">
        <v>77.527296000000007</v>
      </c>
      <c r="CN102" s="86">
        <v>48.160896000000001</v>
      </c>
      <c r="CO102" s="86">
        <v>7.047936</v>
      </c>
      <c r="CP102" s="86">
        <v>0</v>
      </c>
      <c r="CQ102" s="86">
        <v>0</v>
      </c>
      <c r="CR102" s="86">
        <v>30.541056000000001</v>
      </c>
      <c r="CS102" s="87">
        <v>0.53991666666666671</v>
      </c>
    </row>
    <row r="103" spans="1:97">
      <c r="A103" s="5">
        <v>32</v>
      </c>
      <c r="B103" s="94" t="s">
        <v>418</v>
      </c>
      <c r="C103" s="137" t="s">
        <v>51</v>
      </c>
      <c r="D103" s="3" t="s">
        <v>417</v>
      </c>
      <c r="E103" s="3" t="s">
        <v>56</v>
      </c>
      <c r="F103" s="67">
        <v>302</v>
      </c>
      <c r="H103" s="113">
        <v>202.86</v>
      </c>
      <c r="J103" s="80">
        <v>61263.72</v>
      </c>
      <c r="AE103" s="69">
        <v>247.64</v>
      </c>
      <c r="AJ103" s="80">
        <v>395.24980645161293</v>
      </c>
      <c r="AN103" s="67">
        <v>1850</v>
      </c>
      <c r="AO103" s="67">
        <v>640</v>
      </c>
      <c r="AP103" s="67">
        <v>240</v>
      </c>
      <c r="AQ103" s="113">
        <v>284.16000000000003</v>
      </c>
      <c r="AV103" s="68" t="s">
        <v>77</v>
      </c>
      <c r="AX103" s="68" t="s">
        <v>413</v>
      </c>
      <c r="BO103" s="67" t="s">
        <v>53</v>
      </c>
      <c r="BP103" s="67" t="s">
        <v>35</v>
      </c>
      <c r="BS103" s="69">
        <v>3.22</v>
      </c>
      <c r="BZ103" s="67">
        <v>63</v>
      </c>
      <c r="CA103" s="67">
        <v>1</v>
      </c>
      <c r="CB103" s="69">
        <v>63</v>
      </c>
      <c r="CC103" s="67">
        <v>155</v>
      </c>
      <c r="CD103" s="80">
        <v>215.59586148648648</v>
      </c>
      <c r="CJ103" s="86">
        <v>44.926727999999997</v>
      </c>
      <c r="CK103" s="86">
        <v>0</v>
      </c>
      <c r="CL103" s="86">
        <v>26.547612000000001</v>
      </c>
      <c r="CM103" s="86">
        <v>67.39009200000001</v>
      </c>
      <c r="CN103" s="86">
        <v>41.863542000000002</v>
      </c>
      <c r="CO103" s="86">
        <v>6.1263719999999999</v>
      </c>
      <c r="CP103" s="86">
        <v>0</v>
      </c>
      <c r="CQ103" s="86">
        <v>0</v>
      </c>
      <c r="CR103" s="86">
        <v>26.547612000000001</v>
      </c>
      <c r="CS103" s="87">
        <v>0.53991666666666671</v>
      </c>
    </row>
    <row r="104" spans="1:97">
      <c r="A104" s="5">
        <v>32</v>
      </c>
      <c r="B104" s="94" t="s">
        <v>419</v>
      </c>
      <c r="C104" s="137" t="s">
        <v>51</v>
      </c>
      <c r="D104" s="3" t="s">
        <v>417</v>
      </c>
      <c r="E104" s="3" t="s">
        <v>56</v>
      </c>
      <c r="F104" s="67">
        <v>228</v>
      </c>
      <c r="H104" s="113">
        <v>270.48</v>
      </c>
      <c r="J104" s="80">
        <v>61669.440000000002</v>
      </c>
      <c r="AE104" s="69">
        <v>228</v>
      </c>
      <c r="AJ104" s="80">
        <v>397.86735483870967</v>
      </c>
      <c r="AN104" s="67">
        <v>1850</v>
      </c>
      <c r="AO104" s="67">
        <v>640</v>
      </c>
      <c r="AP104" s="67">
        <v>240</v>
      </c>
      <c r="AQ104" s="113">
        <v>284.16000000000003</v>
      </c>
      <c r="AV104" s="68" t="s">
        <v>77</v>
      </c>
      <c r="AX104" s="68" t="s">
        <v>413</v>
      </c>
      <c r="BO104" s="67" t="s">
        <v>53</v>
      </c>
      <c r="BP104" s="67" t="s">
        <v>35</v>
      </c>
      <c r="BS104" s="69">
        <v>3.22</v>
      </c>
      <c r="BZ104" s="67">
        <v>84</v>
      </c>
      <c r="CA104" s="67">
        <v>1</v>
      </c>
      <c r="CB104" s="69">
        <v>84</v>
      </c>
      <c r="CC104" s="67">
        <v>155</v>
      </c>
      <c r="CD104" s="80">
        <v>217.02364864864865</v>
      </c>
      <c r="CJ104" s="86">
        <v>45.224255999999997</v>
      </c>
      <c r="CK104" s="86">
        <v>0</v>
      </c>
      <c r="CL104" s="86">
        <v>26.723424000000001</v>
      </c>
      <c r="CM104" s="86">
        <v>67.83638400000001</v>
      </c>
      <c r="CN104" s="86">
        <v>42.140784000000004</v>
      </c>
      <c r="CO104" s="86">
        <v>6.1669440000000009</v>
      </c>
      <c r="CP104" s="86">
        <v>0</v>
      </c>
      <c r="CQ104" s="86">
        <v>0</v>
      </c>
      <c r="CR104" s="86">
        <v>26.723424000000001</v>
      </c>
      <c r="CS104" s="87">
        <v>0.5399166666666666</v>
      </c>
    </row>
    <row r="105" spans="1:97">
      <c r="A105" s="5">
        <v>32</v>
      </c>
      <c r="B105" s="94" t="s">
        <v>421</v>
      </c>
      <c r="C105" s="137" t="s">
        <v>51</v>
      </c>
      <c r="D105" s="3" t="s">
        <v>423</v>
      </c>
      <c r="E105" s="3" t="s">
        <v>56</v>
      </c>
      <c r="F105" s="67">
        <v>150</v>
      </c>
      <c r="H105" s="113">
        <v>270.48</v>
      </c>
      <c r="J105" s="80">
        <v>40572</v>
      </c>
      <c r="AE105" s="69">
        <v>150</v>
      </c>
      <c r="AJ105" s="80">
        <v>289.8</v>
      </c>
      <c r="AN105" s="67">
        <v>1720</v>
      </c>
      <c r="AO105" s="67">
        <v>520</v>
      </c>
      <c r="AP105" s="67">
        <v>240</v>
      </c>
      <c r="AQ105" s="113">
        <v>214.65600000000001</v>
      </c>
      <c r="AV105" s="68" t="s">
        <v>77</v>
      </c>
      <c r="AX105" s="68" t="s">
        <v>413</v>
      </c>
      <c r="BO105" s="67" t="s">
        <v>53</v>
      </c>
      <c r="BP105" s="67" t="s">
        <v>35</v>
      </c>
      <c r="BS105" s="69">
        <v>3.22</v>
      </c>
      <c r="BZ105" s="67">
        <v>84</v>
      </c>
      <c r="CA105" s="67">
        <v>1</v>
      </c>
      <c r="CB105" s="69">
        <v>84</v>
      </c>
      <c r="CC105" s="67">
        <v>140</v>
      </c>
      <c r="CD105" s="80">
        <v>189.00939177101966</v>
      </c>
      <c r="CJ105" s="86">
        <v>29.752800000000001</v>
      </c>
      <c r="CK105" s="86">
        <v>0</v>
      </c>
      <c r="CL105" s="86">
        <v>17.581200000000003</v>
      </c>
      <c r="CM105" s="86">
        <v>44.629200000000004</v>
      </c>
      <c r="CN105" s="86">
        <v>27.724200000000003</v>
      </c>
      <c r="CO105" s="86">
        <v>4.0572000000000008</v>
      </c>
      <c r="CP105" s="86">
        <v>0</v>
      </c>
      <c r="CQ105" s="86">
        <v>0</v>
      </c>
      <c r="CR105" s="86">
        <v>17.581200000000003</v>
      </c>
      <c r="CS105" s="87">
        <v>0.48766666666666658</v>
      </c>
    </row>
    <row r="106" spans="1:97">
      <c r="A106" s="5">
        <v>32</v>
      </c>
      <c r="B106" s="94" t="s">
        <v>422</v>
      </c>
      <c r="C106" s="137" t="s">
        <v>51</v>
      </c>
      <c r="D106" s="3" t="s">
        <v>420</v>
      </c>
      <c r="E106" s="3" t="s">
        <v>56</v>
      </c>
      <c r="F106" s="67">
        <v>173</v>
      </c>
      <c r="H106" s="113">
        <v>128.80000000000001</v>
      </c>
      <c r="J106" s="80">
        <v>22282.400000000001</v>
      </c>
      <c r="AE106" s="69">
        <v>173</v>
      </c>
      <c r="AJ106" s="80">
        <v>159.16</v>
      </c>
      <c r="AN106" s="67">
        <v>1080</v>
      </c>
      <c r="AO106" s="67">
        <v>460</v>
      </c>
      <c r="AP106" s="67">
        <v>240</v>
      </c>
      <c r="AQ106" s="113">
        <v>119.232</v>
      </c>
      <c r="AV106" s="68" t="s">
        <v>77</v>
      </c>
      <c r="AX106" s="68" t="s">
        <v>413</v>
      </c>
      <c r="BO106" s="67" t="s">
        <v>53</v>
      </c>
      <c r="BP106" s="67" t="s">
        <v>35</v>
      </c>
      <c r="BS106" s="69">
        <v>3.22</v>
      </c>
      <c r="BZ106" s="67">
        <v>40</v>
      </c>
      <c r="CA106" s="67">
        <v>1</v>
      </c>
      <c r="CB106" s="69">
        <v>40</v>
      </c>
      <c r="CC106" s="67">
        <v>140</v>
      </c>
      <c r="CD106" s="80">
        <v>186.88271604938274</v>
      </c>
      <c r="CJ106" s="86">
        <v>16.340426666666666</v>
      </c>
      <c r="CK106" s="86">
        <v>0</v>
      </c>
      <c r="CL106" s="86">
        <v>9.6557066666666689</v>
      </c>
      <c r="CM106" s="86">
        <v>24.510640000000006</v>
      </c>
      <c r="CN106" s="86">
        <v>15.22630666666667</v>
      </c>
      <c r="CO106" s="86">
        <v>2.2282400000000004</v>
      </c>
      <c r="CP106" s="86">
        <v>0</v>
      </c>
      <c r="CQ106" s="86">
        <v>0</v>
      </c>
      <c r="CR106" s="86">
        <v>9.6557066666666689</v>
      </c>
      <c r="CS106" s="87">
        <v>0.4876666666666668</v>
      </c>
    </row>
    <row r="107" spans="1:97">
      <c r="A107" s="5">
        <v>32</v>
      </c>
      <c r="B107" s="94" t="s">
        <v>424</v>
      </c>
      <c r="C107" s="137" t="s">
        <v>51</v>
      </c>
      <c r="D107" s="3" t="s">
        <v>425</v>
      </c>
      <c r="E107" s="3" t="s">
        <v>56</v>
      </c>
      <c r="F107" s="67">
        <v>173</v>
      </c>
      <c r="H107" s="113">
        <v>154.56</v>
      </c>
      <c r="J107" s="80">
        <v>26738.880000000001</v>
      </c>
      <c r="AE107" s="69">
        <v>173</v>
      </c>
      <c r="AJ107" s="80">
        <v>190.99200000000002</v>
      </c>
      <c r="AN107" s="67">
        <v>1305</v>
      </c>
      <c r="AO107" s="67">
        <v>460</v>
      </c>
      <c r="AP107" s="67">
        <v>240</v>
      </c>
      <c r="AQ107" s="113">
        <v>144.072</v>
      </c>
      <c r="AV107" s="68" t="s">
        <v>77</v>
      </c>
      <c r="AX107" s="68" t="s">
        <v>413</v>
      </c>
      <c r="BO107" s="67" t="s">
        <v>53</v>
      </c>
      <c r="BP107" s="67" t="s">
        <v>35</v>
      </c>
      <c r="BS107" s="69">
        <v>3.22</v>
      </c>
      <c r="BZ107" s="67">
        <v>48</v>
      </c>
      <c r="CA107" s="67">
        <v>1</v>
      </c>
      <c r="CB107" s="69">
        <v>48</v>
      </c>
      <c r="CC107" s="67">
        <v>140</v>
      </c>
      <c r="CD107" s="80">
        <v>185.59386973180077</v>
      </c>
      <c r="CJ107" s="86">
        <v>19.608512000000001</v>
      </c>
      <c r="CK107" s="86">
        <v>0</v>
      </c>
      <c r="CL107" s="86">
        <v>11.586848000000002</v>
      </c>
      <c r="CM107" s="86">
        <v>29.412768000000003</v>
      </c>
      <c r="CN107" s="86">
        <v>18.271568000000002</v>
      </c>
      <c r="CO107" s="86">
        <v>2.6738880000000003</v>
      </c>
      <c r="CP107" s="86">
        <v>0</v>
      </c>
      <c r="CQ107" s="86">
        <v>0</v>
      </c>
      <c r="CR107" s="86">
        <v>11.586848000000002</v>
      </c>
      <c r="CS107" s="87">
        <v>0.48766666666666669</v>
      </c>
    </row>
    <row r="108" spans="1:97">
      <c r="A108" s="5">
        <v>36</v>
      </c>
      <c r="B108" s="94" t="s">
        <v>449</v>
      </c>
      <c r="C108" s="150" t="s">
        <v>437</v>
      </c>
      <c r="D108" s="3" t="s">
        <v>438</v>
      </c>
      <c r="E108" s="3" t="s">
        <v>283</v>
      </c>
      <c r="F108" s="67">
        <v>66.599999999999994</v>
      </c>
      <c r="G108" s="67">
        <v>60.2</v>
      </c>
      <c r="H108" s="113">
        <v>52.162162162162168</v>
      </c>
      <c r="I108" s="67">
        <v>38.5</v>
      </c>
      <c r="J108" s="69">
        <v>3474</v>
      </c>
      <c r="AF108" s="67">
        <v>47</v>
      </c>
      <c r="AG108" s="67">
        <v>10</v>
      </c>
      <c r="AH108" s="67">
        <v>80</v>
      </c>
      <c r="AJ108" s="67">
        <v>18</v>
      </c>
      <c r="AN108" s="67">
        <v>248</v>
      </c>
      <c r="AO108" s="67">
        <v>200</v>
      </c>
      <c r="AP108" s="67">
        <v>168</v>
      </c>
      <c r="AQ108" s="113">
        <v>8.3328000000000007</v>
      </c>
      <c r="AV108" s="68" t="s">
        <v>75</v>
      </c>
      <c r="BO108" s="3" t="s">
        <v>460</v>
      </c>
      <c r="BR108" s="69">
        <v>33.299999999999997</v>
      </c>
      <c r="BS108" s="81">
        <v>3.7258687258687262</v>
      </c>
      <c r="BT108" s="113">
        <v>124.07142857142857</v>
      </c>
      <c r="BZ108" s="67">
        <v>14</v>
      </c>
      <c r="CA108" s="67">
        <v>2</v>
      </c>
      <c r="CB108" s="69">
        <v>28</v>
      </c>
      <c r="CC108" s="67">
        <v>193</v>
      </c>
      <c r="CD108" s="80">
        <v>416.90668202764977</v>
      </c>
      <c r="CJ108" s="86">
        <v>1.8914</v>
      </c>
      <c r="CK108" s="86">
        <v>0.52110000000000001</v>
      </c>
      <c r="CL108" s="86">
        <v>1.1387</v>
      </c>
      <c r="CM108" s="86">
        <v>2.8564000000000003</v>
      </c>
      <c r="CN108" s="86">
        <v>0</v>
      </c>
      <c r="CO108" s="86">
        <v>0.34740000000000004</v>
      </c>
      <c r="CP108" s="86">
        <v>0.59830000000000005</v>
      </c>
      <c r="CQ108" s="86">
        <v>1.9107000000000003</v>
      </c>
      <c r="CR108" s="86">
        <v>1.1387</v>
      </c>
      <c r="CS108" s="87">
        <v>0.57792777777777782</v>
      </c>
    </row>
    <row r="109" spans="1:97">
      <c r="A109" s="5">
        <v>36</v>
      </c>
      <c r="B109" s="94" t="s">
        <v>450</v>
      </c>
      <c r="C109" s="150" t="s">
        <v>437</v>
      </c>
      <c r="D109" s="3" t="s">
        <v>439</v>
      </c>
      <c r="E109" s="3" t="s">
        <v>283</v>
      </c>
      <c r="F109" s="67">
        <v>33.299999999999997</v>
      </c>
      <c r="G109" s="67">
        <v>120.4</v>
      </c>
      <c r="H109" s="113">
        <v>104.32432432432434</v>
      </c>
      <c r="I109" s="67">
        <v>77</v>
      </c>
      <c r="J109" s="69">
        <v>3474</v>
      </c>
      <c r="AF109" s="67">
        <v>47</v>
      </c>
      <c r="AG109" s="67">
        <v>10</v>
      </c>
      <c r="AH109" s="67">
        <v>80</v>
      </c>
      <c r="AJ109" s="67">
        <v>18</v>
      </c>
      <c r="AN109" s="67">
        <v>248</v>
      </c>
      <c r="AO109" s="67">
        <v>200</v>
      </c>
      <c r="AP109" s="67">
        <v>168.5</v>
      </c>
      <c r="AQ109" s="113">
        <v>8.3575999999999997</v>
      </c>
      <c r="AV109" s="68" t="s">
        <v>75</v>
      </c>
      <c r="BO109" s="3" t="s">
        <v>460</v>
      </c>
      <c r="BR109" s="69">
        <v>33.299999999999997</v>
      </c>
      <c r="BS109" s="81">
        <v>3.7258687258687262</v>
      </c>
      <c r="BT109" s="113">
        <v>124.07142857142857</v>
      </c>
      <c r="BZ109" s="67">
        <v>28</v>
      </c>
      <c r="CA109" s="67">
        <v>1</v>
      </c>
      <c r="CB109" s="69">
        <v>28</v>
      </c>
      <c r="CC109" s="67">
        <v>193</v>
      </c>
      <c r="CD109" s="80">
        <v>415.669570211544</v>
      </c>
      <c r="CJ109" s="86">
        <v>1.8914</v>
      </c>
      <c r="CK109" s="86">
        <v>0.52110000000000001</v>
      </c>
      <c r="CL109" s="86">
        <v>1.1387</v>
      </c>
      <c r="CM109" s="86">
        <v>2.8564000000000003</v>
      </c>
      <c r="CN109" s="86">
        <v>0</v>
      </c>
      <c r="CO109" s="86">
        <v>0.34740000000000004</v>
      </c>
      <c r="CP109" s="86">
        <v>0.59830000000000005</v>
      </c>
      <c r="CQ109" s="86">
        <v>1.9107000000000003</v>
      </c>
      <c r="CR109" s="86">
        <v>1.1387</v>
      </c>
      <c r="CS109" s="87">
        <v>0.57792777777777782</v>
      </c>
    </row>
    <row r="110" spans="1:97">
      <c r="A110" s="5">
        <v>36</v>
      </c>
      <c r="B110" s="94" t="s">
        <v>451</v>
      </c>
      <c r="C110" s="150" t="s">
        <v>437</v>
      </c>
      <c r="D110" s="3" t="s">
        <v>440</v>
      </c>
      <c r="E110" s="3" t="s">
        <v>283</v>
      </c>
      <c r="F110" s="67">
        <v>66.599999999999994</v>
      </c>
      <c r="G110" s="67">
        <v>120.4</v>
      </c>
      <c r="H110" s="113">
        <v>104.57957957957959</v>
      </c>
      <c r="I110" s="67">
        <v>77</v>
      </c>
      <c r="J110" s="69">
        <v>6965</v>
      </c>
      <c r="AF110" s="67">
        <v>47</v>
      </c>
      <c r="AG110" s="67">
        <v>10</v>
      </c>
      <c r="AH110" s="67">
        <v>80</v>
      </c>
      <c r="AJ110" s="67">
        <v>35</v>
      </c>
      <c r="AN110" s="67">
        <v>248</v>
      </c>
      <c r="AO110" s="67">
        <v>385</v>
      </c>
      <c r="AP110" s="67">
        <v>172</v>
      </c>
      <c r="AQ110" s="113">
        <v>16.422560000000001</v>
      </c>
      <c r="AV110" s="68" t="s">
        <v>75</v>
      </c>
      <c r="BO110" s="3" t="s">
        <v>460</v>
      </c>
      <c r="BR110" s="69">
        <v>33.299999999999997</v>
      </c>
      <c r="BS110" s="81">
        <v>3.7349849849849854</v>
      </c>
      <c r="BT110" s="113">
        <v>124.375</v>
      </c>
      <c r="BZ110" s="67">
        <v>28</v>
      </c>
      <c r="CA110" s="67">
        <v>2</v>
      </c>
      <c r="CB110" s="69">
        <v>56</v>
      </c>
      <c r="CC110" s="67">
        <v>199</v>
      </c>
      <c r="CD110" s="80">
        <v>424.11170974561821</v>
      </c>
      <c r="CJ110" s="86">
        <v>3.7920555555555553</v>
      </c>
      <c r="CK110" s="86">
        <v>1.0447499999999998</v>
      </c>
      <c r="CL110" s="86">
        <v>2.2829722222222224</v>
      </c>
      <c r="CM110" s="86">
        <v>5.7267777777777784</v>
      </c>
      <c r="CN110" s="86">
        <v>0</v>
      </c>
      <c r="CO110" s="86">
        <v>0.69650000000000001</v>
      </c>
      <c r="CP110" s="86">
        <v>1.1995277777777777</v>
      </c>
      <c r="CQ110" s="86">
        <v>3.8307500000000001</v>
      </c>
      <c r="CR110" s="86">
        <v>2.2829722222222224</v>
      </c>
      <c r="CS110" s="87">
        <v>0.5958944444444445</v>
      </c>
    </row>
    <row r="111" spans="1:97">
      <c r="A111" s="5">
        <v>36</v>
      </c>
      <c r="B111" s="94" t="s">
        <v>452</v>
      </c>
      <c r="C111" s="150" t="s">
        <v>437</v>
      </c>
      <c r="D111" s="3" t="s">
        <v>441</v>
      </c>
      <c r="E111" s="3" t="s">
        <v>283</v>
      </c>
      <c r="F111" s="67">
        <v>199.8</v>
      </c>
      <c r="G111" s="67">
        <v>58.8</v>
      </c>
      <c r="H111" s="113">
        <v>52.777777777777771</v>
      </c>
      <c r="I111" s="67">
        <v>38.5</v>
      </c>
      <c r="J111" s="69">
        <v>10545</v>
      </c>
      <c r="AF111" s="67">
        <v>47</v>
      </c>
      <c r="AG111" s="67">
        <v>10</v>
      </c>
      <c r="AH111" s="67">
        <v>80</v>
      </c>
      <c r="AJ111" s="67">
        <v>57</v>
      </c>
      <c r="AN111" s="67">
        <v>672</v>
      </c>
      <c r="AO111" s="67">
        <v>256</v>
      </c>
      <c r="AP111" s="67">
        <v>176</v>
      </c>
      <c r="AQ111" s="113">
        <v>30.277632000000001</v>
      </c>
      <c r="AV111" s="68" t="s">
        <v>75</v>
      </c>
      <c r="BO111" s="3" t="s">
        <v>460</v>
      </c>
      <c r="BR111" s="69">
        <v>33.300000000000004</v>
      </c>
      <c r="BS111" s="81">
        <v>3.7698412698412693</v>
      </c>
      <c r="BT111" s="113">
        <v>125.53571428571428</v>
      </c>
      <c r="BZ111" s="67">
        <v>14</v>
      </c>
      <c r="CA111" s="67">
        <v>6</v>
      </c>
      <c r="CB111" s="69">
        <v>84</v>
      </c>
      <c r="CC111" s="67">
        <v>185</v>
      </c>
      <c r="CD111" s="80">
        <v>348.27690619926949</v>
      </c>
      <c r="CJ111" s="86">
        <v>5.7411666666666665</v>
      </c>
      <c r="CK111" s="86">
        <v>1.58175</v>
      </c>
      <c r="CL111" s="86">
        <v>3.4564166666666667</v>
      </c>
      <c r="CM111" s="86">
        <v>8.6703333333333337</v>
      </c>
      <c r="CN111" s="86">
        <v>0</v>
      </c>
      <c r="CO111" s="86">
        <v>1.0545</v>
      </c>
      <c r="CP111" s="86">
        <v>1.8160833333333333</v>
      </c>
      <c r="CQ111" s="86">
        <v>5.7997500000000004</v>
      </c>
      <c r="CR111" s="86">
        <v>3.4564166666666667</v>
      </c>
      <c r="CS111" s="87">
        <v>0.5539722222222222</v>
      </c>
    </row>
    <row r="112" spans="1:97">
      <c r="A112" s="5">
        <v>36</v>
      </c>
      <c r="B112" s="94" t="s">
        <v>453</v>
      </c>
      <c r="C112" s="150" t="s">
        <v>437</v>
      </c>
      <c r="D112" s="3" t="s">
        <v>442</v>
      </c>
      <c r="E112" s="3" t="s">
        <v>283</v>
      </c>
      <c r="F112" s="67">
        <v>146</v>
      </c>
      <c r="G112" s="67">
        <v>58.1</v>
      </c>
      <c r="H112" s="113">
        <v>50.938356164383563</v>
      </c>
      <c r="I112" s="67">
        <v>38.5</v>
      </c>
      <c r="J112" s="69">
        <v>7437</v>
      </c>
      <c r="AF112" s="67">
        <v>31</v>
      </c>
      <c r="AG112" s="67">
        <v>10</v>
      </c>
      <c r="AH112" s="67">
        <v>80</v>
      </c>
      <c r="AJ112" s="67">
        <v>33.5</v>
      </c>
      <c r="AN112" s="67">
        <v>460</v>
      </c>
      <c r="AO112" s="67">
        <v>313</v>
      </c>
      <c r="AP112" s="67">
        <v>112</v>
      </c>
      <c r="AQ112" s="113">
        <v>16.12576</v>
      </c>
      <c r="AV112" s="68" t="s">
        <v>75</v>
      </c>
      <c r="BO112" s="3" t="s">
        <v>67</v>
      </c>
      <c r="BR112" s="69">
        <v>73</v>
      </c>
      <c r="BS112" s="81">
        <v>3.638454011741683</v>
      </c>
      <c r="BT112" s="113">
        <v>265.60714285714289</v>
      </c>
      <c r="BZ112" s="67">
        <v>14</v>
      </c>
      <c r="CA112" s="67">
        <v>2</v>
      </c>
      <c r="CB112" s="69">
        <v>28</v>
      </c>
      <c r="CC112" s="67">
        <v>222</v>
      </c>
      <c r="CD112" s="80">
        <v>461.18756573333599</v>
      </c>
      <c r="CJ112" s="86">
        <v>4.049033333333333</v>
      </c>
      <c r="CK112" s="86">
        <v>1.11555</v>
      </c>
      <c r="CL112" s="86">
        <v>2.4376833333333336</v>
      </c>
      <c r="CM112" s="86">
        <v>6.1148666666666678</v>
      </c>
      <c r="CN112" s="86">
        <v>0</v>
      </c>
      <c r="CO112" s="86">
        <v>0.74370000000000003</v>
      </c>
      <c r="CP112" s="86">
        <v>1.2808166666666667</v>
      </c>
      <c r="CQ112" s="86">
        <v>4.0903500000000008</v>
      </c>
      <c r="CR112" s="86">
        <v>2.4376833333333336</v>
      </c>
      <c r="CS112" s="87">
        <v>0.66476666666666662</v>
      </c>
    </row>
    <row r="113" spans="1:97">
      <c r="A113" s="5">
        <v>36</v>
      </c>
      <c r="B113" s="94" t="s">
        <v>454</v>
      </c>
      <c r="C113" s="150" t="s">
        <v>437</v>
      </c>
      <c r="D113" s="3" t="s">
        <v>443</v>
      </c>
      <c r="E113" s="3" t="s">
        <v>283</v>
      </c>
      <c r="F113" s="67">
        <v>104</v>
      </c>
      <c r="G113" s="67">
        <v>25.8</v>
      </c>
      <c r="H113" s="113">
        <v>22.223076923076924</v>
      </c>
      <c r="I113" s="67">
        <v>13.8</v>
      </c>
      <c r="J113" s="69">
        <v>2311.2000000000003</v>
      </c>
      <c r="AF113" s="67">
        <v>43.8</v>
      </c>
      <c r="AG113" s="67">
        <v>10</v>
      </c>
      <c r="AH113" s="67">
        <v>80</v>
      </c>
      <c r="AJ113" s="67">
        <v>10.8</v>
      </c>
      <c r="AN113" s="67">
        <v>355</v>
      </c>
      <c r="AO113" s="67">
        <v>151.5</v>
      </c>
      <c r="AP113" s="67">
        <v>108.5</v>
      </c>
      <c r="AQ113" s="113">
        <v>5.8354012500000003</v>
      </c>
      <c r="AV113" s="68" t="s">
        <v>121</v>
      </c>
      <c r="BO113" s="3" t="s">
        <v>49</v>
      </c>
      <c r="BR113" s="69">
        <v>52</v>
      </c>
      <c r="BS113" s="81">
        <v>3.703846153846154</v>
      </c>
      <c r="BT113" s="113">
        <v>192.60000000000002</v>
      </c>
      <c r="BZ113" s="67">
        <v>6</v>
      </c>
      <c r="CA113" s="67">
        <v>2</v>
      </c>
      <c r="CB113" s="69">
        <v>12</v>
      </c>
      <c r="CC113" s="67">
        <v>214</v>
      </c>
      <c r="CD113" s="80">
        <v>396.06530913362644</v>
      </c>
      <c r="CJ113" s="86">
        <v>1.2711600000000003</v>
      </c>
      <c r="CK113" s="86">
        <v>0.42372000000000004</v>
      </c>
      <c r="CL113" s="86">
        <v>0.73188000000000009</v>
      </c>
      <c r="CM113" s="86">
        <v>1.9260000000000004</v>
      </c>
      <c r="CN113" s="86">
        <v>0</v>
      </c>
      <c r="CO113" s="86">
        <v>0.23112000000000005</v>
      </c>
      <c r="CP113" s="86">
        <v>0.38520000000000004</v>
      </c>
      <c r="CQ113" s="86">
        <v>1.2326400000000002</v>
      </c>
      <c r="CR113" s="86">
        <v>0.73188000000000009</v>
      </c>
      <c r="CS113" s="87">
        <v>0.64200000000000002</v>
      </c>
    </row>
    <row r="114" spans="1:97">
      <c r="A114" s="5">
        <v>35</v>
      </c>
      <c r="B114" s="94" t="s">
        <v>455</v>
      </c>
      <c r="C114" s="150" t="s">
        <v>437</v>
      </c>
      <c r="D114" s="3" t="s">
        <v>444</v>
      </c>
      <c r="E114" s="3" t="s">
        <v>283</v>
      </c>
      <c r="F114" s="67">
        <v>228.9</v>
      </c>
      <c r="G114" s="67">
        <v>37.799999999999997</v>
      </c>
      <c r="H114" s="113">
        <v>32.839100043687196</v>
      </c>
      <c r="I114" s="67">
        <v>24.75</v>
      </c>
      <c r="J114" s="69">
        <v>7516.87</v>
      </c>
      <c r="AF114" s="67">
        <v>35.6</v>
      </c>
      <c r="AG114" s="67">
        <v>10</v>
      </c>
      <c r="AH114" s="67">
        <v>80</v>
      </c>
      <c r="AJ114" s="67">
        <v>31.1</v>
      </c>
      <c r="AN114" s="67">
        <v>450.7</v>
      </c>
      <c r="AO114" s="67">
        <v>314.60000000000002</v>
      </c>
      <c r="AP114" s="67">
        <v>108.4</v>
      </c>
      <c r="AQ114" s="113">
        <v>15.370059848</v>
      </c>
      <c r="BO114" s="3" t="s">
        <v>67</v>
      </c>
      <c r="BR114" s="69">
        <v>76.3</v>
      </c>
      <c r="BS114" s="81">
        <v>3.648788893743022</v>
      </c>
      <c r="BT114" s="113">
        <v>278.40259259259255</v>
      </c>
      <c r="BZ114" s="67">
        <v>9</v>
      </c>
      <c r="CA114" s="67">
        <v>3</v>
      </c>
      <c r="CB114" s="69">
        <v>27</v>
      </c>
      <c r="CC114" s="67">
        <v>241.7</v>
      </c>
      <c r="CD114" s="80">
        <v>489.05925379191797</v>
      </c>
      <c r="CJ114" s="86">
        <v>4.0925181111111106</v>
      </c>
      <c r="CK114" s="86">
        <v>1.1275305</v>
      </c>
      <c r="CL114" s="86">
        <v>2.4638629444444446</v>
      </c>
      <c r="CM114" s="86">
        <v>6.1805375555555564</v>
      </c>
      <c r="CN114" s="86">
        <v>0</v>
      </c>
      <c r="CO114" s="86">
        <v>0.75168699999999999</v>
      </c>
      <c r="CP114" s="86">
        <v>1.2945720555555555</v>
      </c>
      <c r="CQ114" s="86">
        <v>4.1342785000000006</v>
      </c>
      <c r="CR114" s="86">
        <v>2.4638629444444446</v>
      </c>
      <c r="CS114" s="87">
        <v>0.72375722222222216</v>
      </c>
    </row>
    <row r="115" spans="1:97">
      <c r="A115" s="5">
        <v>35</v>
      </c>
      <c r="B115" s="94" t="s">
        <v>456</v>
      </c>
      <c r="C115" s="150" t="s">
        <v>437</v>
      </c>
      <c r="D115" s="3" t="s">
        <v>445</v>
      </c>
      <c r="E115" s="3" t="s">
        <v>283</v>
      </c>
      <c r="F115" s="67">
        <v>228.9</v>
      </c>
      <c r="G115" s="67">
        <v>58.5</v>
      </c>
      <c r="H115" s="113">
        <v>51.100117955439053</v>
      </c>
      <c r="I115" s="67">
        <v>38.5</v>
      </c>
      <c r="J115" s="69">
        <v>11696.816999999999</v>
      </c>
      <c r="AF115" s="67">
        <v>35.6</v>
      </c>
      <c r="AG115" s="67">
        <v>10</v>
      </c>
      <c r="AH115" s="67">
        <v>80</v>
      </c>
      <c r="AJ115" s="67">
        <v>47.3</v>
      </c>
      <c r="AN115" s="67">
        <v>691.2</v>
      </c>
      <c r="AO115" s="67">
        <v>314.60000000000002</v>
      </c>
      <c r="AP115" s="67">
        <v>108.4</v>
      </c>
      <c r="AQ115" s="113">
        <v>23.571744768000002</v>
      </c>
      <c r="BO115" s="3" t="s">
        <v>67</v>
      </c>
      <c r="BR115" s="69">
        <v>76.3</v>
      </c>
      <c r="BS115" s="81">
        <v>3.6500084253885037</v>
      </c>
      <c r="BT115" s="113">
        <v>278.4956428571428</v>
      </c>
      <c r="BZ115" s="67">
        <v>14</v>
      </c>
      <c r="CA115" s="67">
        <v>3</v>
      </c>
      <c r="CB115" s="69">
        <v>42</v>
      </c>
      <c r="CC115" s="67">
        <v>247.29</v>
      </c>
      <c r="CD115" s="80">
        <v>496.22194348036129</v>
      </c>
      <c r="CJ115" s="86">
        <v>6.368267033333332</v>
      </c>
      <c r="CK115" s="86">
        <v>1.7545225499999999</v>
      </c>
      <c r="CL115" s="86">
        <v>3.8339566833333332</v>
      </c>
      <c r="CM115" s="86">
        <v>9.6173828666666665</v>
      </c>
      <c r="CN115" s="86">
        <v>0</v>
      </c>
      <c r="CO115" s="86">
        <v>1.1696816999999999</v>
      </c>
      <c r="CP115" s="86">
        <v>2.0144518166666665</v>
      </c>
      <c r="CQ115" s="86">
        <v>6.4332493500000005</v>
      </c>
      <c r="CR115" s="86">
        <v>3.8339566833333332</v>
      </c>
      <c r="CS115" s="87">
        <v>0.74049616666666673</v>
      </c>
    </row>
    <row r="116" spans="1:97">
      <c r="A116" s="5">
        <v>36</v>
      </c>
      <c r="B116" s="94" t="s">
        <v>457</v>
      </c>
      <c r="C116" s="150" t="s">
        <v>437</v>
      </c>
      <c r="D116" s="3" t="s">
        <v>446</v>
      </c>
      <c r="E116" s="3" t="s">
        <v>283</v>
      </c>
      <c r="F116" s="67">
        <v>219</v>
      </c>
      <c r="G116" s="67">
        <v>25.2</v>
      </c>
      <c r="H116" s="113">
        <v>22.256164383561647</v>
      </c>
      <c r="I116" s="67">
        <v>16.5</v>
      </c>
      <c r="J116" s="69">
        <v>4874.1000000000004</v>
      </c>
      <c r="AF116" s="67">
        <v>30</v>
      </c>
      <c r="AG116" s="67">
        <v>10</v>
      </c>
      <c r="AH116" s="67">
        <v>80</v>
      </c>
      <c r="AI116" s="67">
        <v>25</v>
      </c>
      <c r="AJ116" s="67">
        <v>21.1</v>
      </c>
      <c r="AN116" s="67">
        <v>314</v>
      </c>
      <c r="AO116" s="67">
        <v>307</v>
      </c>
      <c r="AP116" s="67">
        <v>107</v>
      </c>
      <c r="AQ116" s="113">
        <v>10.314586</v>
      </c>
      <c r="BO116" s="3" t="s">
        <v>67</v>
      </c>
      <c r="BR116" s="69">
        <v>73</v>
      </c>
      <c r="BS116" s="81">
        <v>3.7093607305936076</v>
      </c>
      <c r="BT116" s="113">
        <v>270.78333333333336</v>
      </c>
      <c r="BZ116" s="67">
        <v>6</v>
      </c>
      <c r="CA116" s="67">
        <v>3</v>
      </c>
      <c r="CB116" s="69">
        <v>18</v>
      </c>
      <c r="CC116" s="67">
        <v>231</v>
      </c>
      <c r="CD116" s="80">
        <v>472.5444142886588</v>
      </c>
      <c r="CJ116" s="86">
        <v>2.6536766666666667</v>
      </c>
      <c r="CK116" s="86">
        <v>0.73111500000000007</v>
      </c>
      <c r="CL116" s="86">
        <v>1.5976216666666667</v>
      </c>
      <c r="CM116" s="86">
        <v>4.0075933333333342</v>
      </c>
      <c r="CN116" s="86">
        <v>0</v>
      </c>
      <c r="CO116" s="86">
        <v>0.48741000000000007</v>
      </c>
      <c r="CP116" s="86">
        <v>0.83942833333333333</v>
      </c>
      <c r="CQ116" s="86">
        <v>2.6807550000000004</v>
      </c>
      <c r="CR116" s="86">
        <v>1.5976216666666667</v>
      </c>
      <c r="CS116" s="87">
        <v>0.69171666666666676</v>
      </c>
    </row>
    <row r="117" spans="1:97">
      <c r="A117" s="5">
        <v>36</v>
      </c>
      <c r="B117" s="94" t="s">
        <v>458</v>
      </c>
      <c r="C117" s="150" t="s">
        <v>437</v>
      </c>
      <c r="D117" s="3" t="s">
        <v>447</v>
      </c>
      <c r="E117" s="3" t="s">
        <v>283</v>
      </c>
      <c r="F117" s="67">
        <v>146</v>
      </c>
      <c r="G117" s="67">
        <v>50.4</v>
      </c>
      <c r="H117" s="113">
        <v>33.962328767123289</v>
      </c>
      <c r="I117" s="67">
        <v>33</v>
      </c>
      <c r="J117" s="69">
        <v>4958.5</v>
      </c>
      <c r="AF117" s="67">
        <v>30</v>
      </c>
      <c r="AG117" s="67">
        <v>10</v>
      </c>
      <c r="AH117" s="67">
        <v>80</v>
      </c>
      <c r="AI117" s="67">
        <v>25</v>
      </c>
      <c r="AJ117" s="67">
        <v>21.1</v>
      </c>
      <c r="AN117" s="67">
        <v>405</v>
      </c>
      <c r="AO117" s="67">
        <v>311</v>
      </c>
      <c r="AP117" s="67">
        <v>108</v>
      </c>
      <c r="AQ117" s="113">
        <v>13.60314</v>
      </c>
      <c r="BO117" s="3" t="s">
        <v>67</v>
      </c>
      <c r="BR117" s="69">
        <v>73</v>
      </c>
      <c r="BS117" s="81">
        <v>2.8301940639269407</v>
      </c>
      <c r="BT117" s="113">
        <v>206.60416666666669</v>
      </c>
      <c r="BZ117" s="67">
        <v>12</v>
      </c>
      <c r="CA117" s="67">
        <v>2</v>
      </c>
      <c r="CB117" s="69">
        <v>24</v>
      </c>
      <c r="CC117" s="67">
        <v>235</v>
      </c>
      <c r="CD117" s="80">
        <v>364.51142897889753</v>
      </c>
      <c r="CJ117" s="86">
        <v>2.6996277777777773</v>
      </c>
      <c r="CK117" s="86">
        <v>0.74377499999999996</v>
      </c>
      <c r="CL117" s="86">
        <v>1.625286111111111</v>
      </c>
      <c r="CM117" s="86">
        <v>4.0769888888888888</v>
      </c>
      <c r="CN117" s="86">
        <v>0</v>
      </c>
      <c r="CO117" s="86">
        <v>0.49585000000000001</v>
      </c>
      <c r="CP117" s="86">
        <v>0.85396388888888886</v>
      </c>
      <c r="CQ117" s="86">
        <v>2.7271750000000003</v>
      </c>
      <c r="CR117" s="86">
        <v>1.625286111111111</v>
      </c>
      <c r="CS117" s="87">
        <v>0.7036944444444444</v>
      </c>
    </row>
    <row r="118" spans="1:97">
      <c r="A118" s="5">
        <v>36</v>
      </c>
      <c r="B118" s="94" t="s">
        <v>459</v>
      </c>
      <c r="C118" s="150" t="s">
        <v>437</v>
      </c>
      <c r="D118" s="3" t="s">
        <v>448</v>
      </c>
      <c r="E118" s="3" t="s">
        <v>283</v>
      </c>
      <c r="F118" s="67">
        <v>219</v>
      </c>
      <c r="G118" s="67">
        <v>50.4</v>
      </c>
      <c r="H118" s="113">
        <v>45.041095890410958</v>
      </c>
      <c r="I118" s="67">
        <v>33</v>
      </c>
      <c r="J118" s="69">
        <v>9864</v>
      </c>
      <c r="AF118" s="67">
        <v>30</v>
      </c>
      <c r="AG118" s="67">
        <v>10</v>
      </c>
      <c r="AH118" s="67">
        <v>80</v>
      </c>
      <c r="AI118" s="67">
        <v>25</v>
      </c>
      <c r="AJ118" s="67">
        <v>41.1</v>
      </c>
      <c r="AN118" s="67">
        <v>613</v>
      </c>
      <c r="AO118" s="67">
        <v>307</v>
      </c>
      <c r="AP118" s="67">
        <v>107</v>
      </c>
      <c r="AQ118" s="113">
        <v>20.136437000000001</v>
      </c>
      <c r="BO118" s="3" t="s">
        <v>67</v>
      </c>
      <c r="BR118" s="69">
        <v>73</v>
      </c>
      <c r="BS118" s="81">
        <v>3.7534246575342465</v>
      </c>
      <c r="BT118" s="113">
        <v>274</v>
      </c>
      <c r="BZ118" s="67">
        <v>12</v>
      </c>
      <c r="CA118" s="67">
        <v>3</v>
      </c>
      <c r="CB118" s="69">
        <v>36</v>
      </c>
      <c r="CC118" s="67">
        <v>240</v>
      </c>
      <c r="CD118" s="80">
        <v>489.85826042611211</v>
      </c>
      <c r="CJ118" s="86">
        <v>5.3704000000000001</v>
      </c>
      <c r="CK118" s="86">
        <v>1.4796</v>
      </c>
      <c r="CL118" s="86">
        <v>3.2332000000000001</v>
      </c>
      <c r="CM118" s="86">
        <v>8.1104000000000021</v>
      </c>
      <c r="CN118" s="86">
        <v>0</v>
      </c>
      <c r="CO118" s="86">
        <v>0.98640000000000017</v>
      </c>
      <c r="CP118" s="86">
        <v>1.6988000000000001</v>
      </c>
      <c r="CQ118" s="86">
        <v>5.4252000000000011</v>
      </c>
      <c r="CR118" s="86">
        <v>3.2332000000000001</v>
      </c>
      <c r="CS118" s="87">
        <v>0.71866666666666668</v>
      </c>
    </row>
  </sheetData>
  <autoFilter ref="A3:CS3" xr:uid="{88BC6B05-2D2D-49FA-84CF-EB7C82898129}">
    <sortState xmlns:xlrd2="http://schemas.microsoft.com/office/spreadsheetml/2017/richdata2" ref="A4:CS19">
      <sortCondition ref="B3"/>
    </sortState>
  </autoFilter>
  <mergeCells count="20">
    <mergeCell ref="AN2:AP2"/>
    <mergeCell ref="CE2:CG2"/>
    <mergeCell ref="G2:I2"/>
    <mergeCell ref="L2:M2"/>
    <mergeCell ref="N2:O2"/>
    <mergeCell ref="T2:AA2"/>
    <mergeCell ref="AY2:AZ2"/>
    <mergeCell ref="BA2:BB2"/>
    <mergeCell ref="BE2:BF2"/>
    <mergeCell ref="BC2:BD2"/>
    <mergeCell ref="AF2:AI2"/>
    <mergeCell ref="AB2:AE2"/>
    <mergeCell ref="J2:K2"/>
    <mergeCell ref="R2:S2"/>
    <mergeCell ref="P2:Q2"/>
    <mergeCell ref="CH2:CI2"/>
    <mergeCell ref="BL2:BY2"/>
    <mergeCell ref="CJ2:CS2"/>
    <mergeCell ref="BG2:BK2"/>
    <mergeCell ref="BZ2:CB2"/>
  </mergeCells>
  <phoneticPr fontId="85" type="noConversion"/>
  <conditionalFormatting sqref="A4:A118">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BO4:BO27 BO61:BO78" xr:uid="{5EC366AC-3749-46B2-AC2F-B27699BFBBB3}">
      <formula1>"LFP,LMO,LTO,NCA,NiCd,NMC,NMC111,NMC523,NMC622,NMC712,NMC811,NMC955,NMC9525,Na,PbA,NiMh,NCMA"</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Modules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Nigel</dc:creator>
  <cp:lastModifiedBy>Nigel Taylor</cp:lastModifiedBy>
  <dcterms:created xsi:type="dcterms:W3CDTF">2022-03-04T10:35:54Z</dcterms:created>
  <dcterms:modified xsi:type="dcterms:W3CDTF">2026-02-25T08:30:03Z</dcterms:modified>
</cp:coreProperties>
</file>